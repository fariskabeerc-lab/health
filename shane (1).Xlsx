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723D50-37E2-4B3E-8509-51FE6BEAEFF2}" xr6:coauthVersionLast="47" xr6:coauthVersionMax="47" xr10:uidLastSave="{00000000-0000-0000-0000-000000000000}"/>
  <bookViews>
    <workbookView xWindow="14295" yWindow="0" windowWidth="14610" windowHeight="15585" xr2:uid="{192D6A37-98F9-41E2-A052-E2D0DD065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0" i="1" l="1"/>
  <c r="D450" i="1"/>
  <c r="E450" i="1" s="1"/>
  <c r="G449" i="1"/>
  <c r="D449" i="1"/>
  <c r="E449" i="1" s="1"/>
  <c r="G448" i="1"/>
  <c r="D448" i="1"/>
  <c r="E448" i="1" s="1"/>
  <c r="G447" i="1"/>
  <c r="D447" i="1"/>
  <c r="E447" i="1" s="1"/>
  <c r="G446" i="1"/>
  <c r="D446" i="1"/>
  <c r="E446" i="1" s="1"/>
  <c r="G445" i="1"/>
  <c r="D445" i="1"/>
  <c r="E445" i="1" s="1"/>
  <c r="G444" i="1"/>
  <c r="E444" i="1"/>
  <c r="D444" i="1"/>
  <c r="G443" i="1"/>
  <c r="D443" i="1"/>
  <c r="E443" i="1" s="1"/>
  <c r="G442" i="1"/>
  <c r="D442" i="1"/>
  <c r="E442" i="1" s="1"/>
  <c r="G441" i="1"/>
  <c r="D441" i="1"/>
  <c r="E441" i="1" s="1"/>
  <c r="G440" i="1"/>
  <c r="D440" i="1"/>
  <c r="E440" i="1" s="1"/>
  <c r="G439" i="1"/>
  <c r="D439" i="1"/>
  <c r="E439" i="1" s="1"/>
  <c r="G438" i="1"/>
  <c r="D438" i="1"/>
  <c r="E438" i="1" s="1"/>
  <c r="G437" i="1"/>
  <c r="E437" i="1"/>
  <c r="D437" i="1"/>
  <c r="G436" i="1"/>
  <c r="D436" i="1"/>
  <c r="E436" i="1" s="1"/>
  <c r="G435" i="1"/>
  <c r="D435" i="1"/>
  <c r="E435" i="1" s="1"/>
  <c r="G434" i="1"/>
  <c r="D434" i="1"/>
  <c r="E434" i="1" s="1"/>
  <c r="G433" i="1"/>
  <c r="D433" i="1"/>
  <c r="E433" i="1" s="1"/>
  <c r="G432" i="1"/>
  <c r="D432" i="1"/>
  <c r="E432" i="1" s="1"/>
  <c r="G431" i="1"/>
  <c r="D431" i="1"/>
  <c r="E431" i="1" s="1"/>
  <c r="G430" i="1"/>
  <c r="D430" i="1"/>
  <c r="E430" i="1" s="1"/>
  <c r="G429" i="1"/>
  <c r="D429" i="1"/>
  <c r="E429" i="1" s="1"/>
  <c r="G428" i="1"/>
  <c r="D428" i="1"/>
  <c r="E428" i="1" s="1"/>
  <c r="G427" i="1"/>
  <c r="D427" i="1"/>
  <c r="E427" i="1" s="1"/>
  <c r="G426" i="1"/>
  <c r="D426" i="1"/>
  <c r="E426" i="1" s="1"/>
  <c r="G425" i="1"/>
  <c r="D425" i="1"/>
  <c r="E425" i="1" s="1"/>
  <c r="G424" i="1"/>
  <c r="E424" i="1"/>
  <c r="D424" i="1"/>
  <c r="G423" i="1"/>
  <c r="D423" i="1"/>
  <c r="E423" i="1" s="1"/>
  <c r="G422" i="1"/>
  <c r="D422" i="1"/>
  <c r="E422" i="1" s="1"/>
  <c r="G421" i="1"/>
  <c r="D421" i="1"/>
  <c r="E421" i="1" s="1"/>
  <c r="G420" i="1"/>
  <c r="D420" i="1"/>
  <c r="E420" i="1" s="1"/>
  <c r="G419" i="1"/>
  <c r="D419" i="1"/>
  <c r="E419" i="1" s="1"/>
  <c r="G418" i="1"/>
  <c r="D418" i="1"/>
  <c r="E418" i="1" s="1"/>
  <c r="G417" i="1"/>
  <c r="D417" i="1"/>
  <c r="E417" i="1" s="1"/>
  <c r="G416" i="1"/>
  <c r="D416" i="1"/>
  <c r="E416" i="1" s="1"/>
  <c r="G415" i="1"/>
  <c r="D415" i="1"/>
  <c r="E415" i="1" s="1"/>
  <c r="G414" i="1"/>
  <c r="D414" i="1"/>
  <c r="E414" i="1" s="1"/>
  <c r="G413" i="1"/>
  <c r="D413" i="1"/>
  <c r="E413" i="1" s="1"/>
  <c r="G412" i="1"/>
  <c r="D412" i="1"/>
  <c r="E412" i="1" s="1"/>
  <c r="G411" i="1"/>
  <c r="D411" i="1"/>
  <c r="E411" i="1" s="1"/>
  <c r="G410" i="1"/>
  <c r="D410" i="1"/>
  <c r="E410" i="1" s="1"/>
  <c r="G409" i="1"/>
  <c r="D409" i="1"/>
  <c r="E409" i="1" s="1"/>
  <c r="G408" i="1"/>
  <c r="D408" i="1"/>
  <c r="E408" i="1" s="1"/>
  <c r="G407" i="1"/>
  <c r="D407" i="1"/>
  <c r="E407" i="1" s="1"/>
  <c r="G406" i="1"/>
  <c r="D406" i="1"/>
  <c r="E406" i="1" s="1"/>
  <c r="G405" i="1"/>
  <c r="D405" i="1"/>
  <c r="E405" i="1" s="1"/>
  <c r="G404" i="1"/>
  <c r="D404" i="1"/>
  <c r="E404" i="1" s="1"/>
  <c r="G403" i="1"/>
  <c r="D403" i="1"/>
  <c r="E403" i="1" s="1"/>
  <c r="G402" i="1"/>
  <c r="D402" i="1"/>
  <c r="E402" i="1" s="1"/>
  <c r="G401" i="1"/>
  <c r="D401" i="1"/>
  <c r="E401" i="1" s="1"/>
  <c r="G400" i="1"/>
  <c r="D400" i="1"/>
  <c r="E400" i="1" s="1"/>
  <c r="G399" i="1"/>
  <c r="D399" i="1"/>
  <c r="E399" i="1" s="1"/>
  <c r="G398" i="1"/>
  <c r="D398" i="1"/>
  <c r="E398" i="1" s="1"/>
  <c r="G397" i="1"/>
  <c r="D397" i="1"/>
  <c r="E397" i="1" s="1"/>
  <c r="G396" i="1"/>
  <c r="D396" i="1"/>
  <c r="E396" i="1" s="1"/>
  <c r="G395" i="1"/>
  <c r="D395" i="1"/>
  <c r="E395" i="1" s="1"/>
  <c r="G394" i="1"/>
  <c r="D394" i="1"/>
  <c r="E394" i="1" s="1"/>
  <c r="G393" i="1"/>
  <c r="D393" i="1"/>
  <c r="E393" i="1" s="1"/>
  <c r="G392" i="1"/>
  <c r="D392" i="1"/>
  <c r="E392" i="1" s="1"/>
  <c r="G391" i="1"/>
  <c r="D391" i="1"/>
  <c r="E391" i="1" s="1"/>
  <c r="G390" i="1"/>
  <c r="D390" i="1"/>
  <c r="E390" i="1" s="1"/>
  <c r="G389" i="1"/>
  <c r="D389" i="1"/>
  <c r="E389" i="1" s="1"/>
  <c r="G388" i="1"/>
  <c r="D388" i="1"/>
  <c r="E388" i="1" s="1"/>
  <c r="G387" i="1"/>
  <c r="D387" i="1"/>
  <c r="E387" i="1" s="1"/>
  <c r="G386" i="1"/>
  <c r="D386" i="1"/>
  <c r="E386" i="1" s="1"/>
  <c r="G385" i="1"/>
  <c r="D385" i="1"/>
  <c r="E385" i="1" s="1"/>
  <c r="G384" i="1"/>
  <c r="D384" i="1"/>
  <c r="E384" i="1" s="1"/>
  <c r="G383" i="1"/>
  <c r="D383" i="1"/>
  <c r="E383" i="1" s="1"/>
  <c r="G382" i="1"/>
  <c r="D382" i="1"/>
  <c r="E382" i="1" s="1"/>
  <c r="G381" i="1"/>
  <c r="D381" i="1"/>
  <c r="E381" i="1" s="1"/>
  <c r="G380" i="1"/>
  <c r="D380" i="1"/>
  <c r="E380" i="1" s="1"/>
  <c r="G379" i="1"/>
  <c r="D379" i="1"/>
  <c r="E379" i="1" s="1"/>
  <c r="G378" i="1"/>
  <c r="D378" i="1"/>
  <c r="E378" i="1" s="1"/>
  <c r="G377" i="1"/>
  <c r="D377" i="1"/>
  <c r="E377" i="1" s="1"/>
  <c r="G376" i="1"/>
  <c r="D376" i="1"/>
  <c r="E376" i="1" s="1"/>
  <c r="G375" i="1"/>
  <c r="D375" i="1"/>
  <c r="E375" i="1" s="1"/>
  <c r="G374" i="1"/>
  <c r="D374" i="1"/>
  <c r="E374" i="1" s="1"/>
  <c r="G373" i="1"/>
  <c r="D373" i="1"/>
  <c r="E373" i="1" s="1"/>
  <c r="G372" i="1"/>
  <c r="D372" i="1"/>
  <c r="E372" i="1" s="1"/>
  <c r="G371" i="1"/>
  <c r="D371" i="1"/>
  <c r="E371" i="1" s="1"/>
  <c r="G370" i="1"/>
  <c r="D370" i="1"/>
  <c r="E370" i="1" s="1"/>
  <c r="G369" i="1"/>
  <c r="D369" i="1"/>
  <c r="E369" i="1" s="1"/>
  <c r="G368" i="1"/>
  <c r="D368" i="1"/>
  <c r="E368" i="1" s="1"/>
  <c r="G367" i="1"/>
  <c r="D367" i="1"/>
  <c r="E367" i="1" s="1"/>
  <c r="G366" i="1"/>
  <c r="D366" i="1"/>
  <c r="E366" i="1" s="1"/>
  <c r="G365" i="1"/>
  <c r="D365" i="1"/>
  <c r="E365" i="1" s="1"/>
  <c r="G364" i="1"/>
  <c r="D364" i="1"/>
  <c r="E364" i="1" s="1"/>
  <c r="G363" i="1"/>
  <c r="D363" i="1"/>
  <c r="E363" i="1" s="1"/>
  <c r="G362" i="1"/>
  <c r="D362" i="1"/>
  <c r="E362" i="1" s="1"/>
  <c r="G361" i="1"/>
  <c r="D361" i="1"/>
  <c r="E361" i="1" s="1"/>
  <c r="G360" i="1"/>
  <c r="D360" i="1"/>
  <c r="E360" i="1" s="1"/>
  <c r="G359" i="1"/>
  <c r="D359" i="1"/>
  <c r="E359" i="1" s="1"/>
  <c r="G358" i="1"/>
  <c r="D358" i="1"/>
  <c r="E358" i="1" s="1"/>
  <c r="G357" i="1"/>
  <c r="D357" i="1"/>
  <c r="E357" i="1" s="1"/>
  <c r="G356" i="1"/>
  <c r="D356" i="1"/>
  <c r="E356" i="1" s="1"/>
  <c r="G355" i="1"/>
  <c r="D355" i="1"/>
  <c r="E355" i="1" s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D350" i="1"/>
  <c r="E350" i="1" s="1"/>
  <c r="G349" i="1"/>
  <c r="D349" i="1"/>
  <c r="E349" i="1" s="1"/>
  <c r="G348" i="1"/>
  <c r="D348" i="1"/>
  <c r="E348" i="1" s="1"/>
  <c r="G347" i="1"/>
  <c r="D347" i="1"/>
  <c r="E347" i="1" s="1"/>
  <c r="G346" i="1"/>
  <c r="D346" i="1"/>
  <c r="E346" i="1" s="1"/>
  <c r="G345" i="1"/>
  <c r="D345" i="1"/>
  <c r="E345" i="1" s="1"/>
  <c r="G344" i="1"/>
  <c r="D344" i="1"/>
  <c r="E344" i="1" s="1"/>
  <c r="G343" i="1"/>
  <c r="D343" i="1"/>
  <c r="E343" i="1" s="1"/>
  <c r="G342" i="1"/>
  <c r="D342" i="1"/>
  <c r="E342" i="1" s="1"/>
  <c r="G341" i="1"/>
  <c r="D341" i="1"/>
  <c r="E341" i="1" s="1"/>
  <c r="G340" i="1"/>
  <c r="D340" i="1"/>
  <c r="E340" i="1" s="1"/>
  <c r="G339" i="1"/>
  <c r="D339" i="1"/>
  <c r="E339" i="1" s="1"/>
  <c r="G338" i="1"/>
  <c r="D338" i="1"/>
  <c r="E338" i="1" s="1"/>
  <c r="G337" i="1"/>
  <c r="D337" i="1"/>
  <c r="E337" i="1" s="1"/>
  <c r="G336" i="1"/>
  <c r="D336" i="1"/>
  <c r="E336" i="1" s="1"/>
  <c r="G335" i="1"/>
  <c r="D335" i="1"/>
  <c r="E335" i="1" s="1"/>
  <c r="G334" i="1"/>
  <c r="D334" i="1"/>
  <c r="E334" i="1" s="1"/>
  <c r="G333" i="1"/>
  <c r="D333" i="1"/>
  <c r="E333" i="1" s="1"/>
  <c r="G332" i="1"/>
  <c r="D332" i="1"/>
  <c r="E332" i="1" s="1"/>
  <c r="G331" i="1"/>
  <c r="D331" i="1"/>
  <c r="E331" i="1" s="1"/>
  <c r="G330" i="1"/>
  <c r="D330" i="1"/>
  <c r="E330" i="1" s="1"/>
  <c r="G329" i="1"/>
  <c r="D329" i="1"/>
  <c r="E329" i="1" s="1"/>
  <c r="G328" i="1"/>
  <c r="D328" i="1"/>
  <c r="E328" i="1" s="1"/>
  <c r="G327" i="1"/>
  <c r="D327" i="1"/>
  <c r="E327" i="1" s="1"/>
  <c r="G326" i="1"/>
  <c r="D326" i="1"/>
  <c r="E326" i="1" s="1"/>
  <c r="G325" i="1"/>
  <c r="D325" i="1"/>
  <c r="E325" i="1" s="1"/>
  <c r="G324" i="1"/>
  <c r="D324" i="1"/>
  <c r="E324" i="1" s="1"/>
  <c r="G323" i="1"/>
  <c r="D323" i="1"/>
  <c r="E323" i="1" s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D318" i="1"/>
  <c r="E318" i="1" s="1"/>
  <c r="G317" i="1"/>
  <c r="D317" i="1"/>
  <c r="E317" i="1" s="1"/>
  <c r="G316" i="1"/>
  <c r="D316" i="1"/>
  <c r="E316" i="1" s="1"/>
  <c r="G315" i="1"/>
  <c r="D315" i="1"/>
  <c r="E315" i="1" s="1"/>
  <c r="G314" i="1"/>
  <c r="D314" i="1"/>
  <c r="E314" i="1" s="1"/>
  <c r="G313" i="1"/>
  <c r="D313" i="1"/>
  <c r="E313" i="1" s="1"/>
  <c r="G312" i="1"/>
  <c r="D312" i="1"/>
  <c r="E312" i="1" s="1"/>
  <c r="G311" i="1"/>
  <c r="D311" i="1"/>
  <c r="E311" i="1" s="1"/>
  <c r="G310" i="1"/>
  <c r="D310" i="1"/>
  <c r="E310" i="1" s="1"/>
  <c r="G309" i="1"/>
  <c r="D309" i="1"/>
  <c r="E309" i="1" s="1"/>
  <c r="G308" i="1"/>
  <c r="D308" i="1"/>
  <c r="E308" i="1" s="1"/>
  <c r="G307" i="1"/>
  <c r="D307" i="1"/>
  <c r="E307" i="1" s="1"/>
  <c r="G306" i="1"/>
  <c r="D306" i="1"/>
  <c r="E306" i="1" s="1"/>
  <c r="G305" i="1"/>
  <c r="D305" i="1"/>
  <c r="E305" i="1" s="1"/>
  <c r="G304" i="1"/>
  <c r="D304" i="1"/>
  <c r="E304" i="1" s="1"/>
  <c r="G303" i="1"/>
  <c r="D303" i="1"/>
  <c r="E303" i="1" s="1"/>
  <c r="G302" i="1"/>
  <c r="D302" i="1"/>
  <c r="E302" i="1" s="1"/>
  <c r="G301" i="1"/>
  <c r="D301" i="1"/>
  <c r="E301" i="1" s="1"/>
  <c r="G300" i="1"/>
  <c r="D300" i="1"/>
  <c r="E300" i="1" s="1"/>
  <c r="G299" i="1"/>
  <c r="D299" i="1"/>
  <c r="E299" i="1" s="1"/>
  <c r="G298" i="1"/>
  <c r="D298" i="1"/>
  <c r="E298" i="1" s="1"/>
  <c r="G297" i="1"/>
  <c r="D297" i="1"/>
  <c r="E297" i="1" s="1"/>
  <c r="G296" i="1"/>
  <c r="D296" i="1"/>
  <c r="E296" i="1" s="1"/>
  <c r="G295" i="1"/>
  <c r="D295" i="1"/>
  <c r="E295" i="1" s="1"/>
  <c r="G294" i="1"/>
  <c r="D294" i="1"/>
  <c r="E294" i="1" s="1"/>
  <c r="G293" i="1"/>
  <c r="D293" i="1"/>
  <c r="E293" i="1" s="1"/>
  <c r="G292" i="1"/>
  <c r="D292" i="1"/>
  <c r="E292" i="1" s="1"/>
  <c r="G291" i="1"/>
  <c r="D291" i="1"/>
  <c r="E291" i="1" s="1"/>
  <c r="G290" i="1"/>
  <c r="D290" i="1"/>
  <c r="E290" i="1" s="1"/>
  <c r="G289" i="1"/>
  <c r="D289" i="1"/>
  <c r="E289" i="1" s="1"/>
  <c r="G288" i="1"/>
  <c r="D288" i="1"/>
  <c r="E288" i="1" s="1"/>
  <c r="G287" i="1"/>
  <c r="D287" i="1"/>
  <c r="E287" i="1" s="1"/>
  <c r="G286" i="1"/>
  <c r="D286" i="1"/>
  <c r="E286" i="1" s="1"/>
  <c r="G285" i="1"/>
  <c r="D285" i="1"/>
  <c r="E285" i="1" s="1"/>
  <c r="G284" i="1"/>
  <c r="D284" i="1"/>
  <c r="E284" i="1" s="1"/>
  <c r="G283" i="1"/>
  <c r="D283" i="1"/>
  <c r="E283" i="1" s="1"/>
  <c r="G282" i="1"/>
  <c r="D282" i="1"/>
  <c r="E282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D274" i="1"/>
  <c r="E274" i="1" s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D267" i="1"/>
  <c r="E267" i="1" s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03" i="1" l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D193" i="1"/>
  <c r="E193" i="1" s="1"/>
  <c r="G192" i="1"/>
  <c r="D192" i="1"/>
  <c r="E192" i="1" s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D185" i="1"/>
  <c r="E185" i="1" s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G88" i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D38" i="1"/>
  <c r="E38" i="1" s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D22" i="1"/>
  <c r="E22" i="1" s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D14" i="1"/>
  <c r="E14" i="1" s="1"/>
  <c r="G13" i="1"/>
  <c r="D13" i="1"/>
  <c r="E13" i="1" s="1"/>
  <c r="G12" i="1"/>
  <c r="D12" i="1"/>
  <c r="E12" i="1" s="1"/>
  <c r="G11" i="1"/>
  <c r="D11" i="1"/>
  <c r="E11" i="1" s="1"/>
  <c r="G10" i="1"/>
  <c r="D10" i="1"/>
  <c r="E10" i="1" s="1"/>
  <c r="G9" i="1"/>
  <c r="D9" i="1"/>
  <c r="E9" i="1" s="1"/>
  <c r="G8" i="1"/>
  <c r="D8" i="1"/>
  <c r="E8" i="1" s="1"/>
  <c r="G7" i="1"/>
  <c r="D7" i="1"/>
  <c r="E7" i="1" s="1"/>
  <c r="G6" i="1"/>
  <c r="D6" i="1"/>
  <c r="E6" i="1" s="1"/>
  <c r="G5" i="1"/>
  <c r="D5" i="1"/>
  <c r="E5" i="1" s="1"/>
  <c r="G4" i="1"/>
  <c r="D4" i="1"/>
  <c r="E4" i="1" s="1"/>
  <c r="G3" i="1"/>
  <c r="D3" i="1"/>
  <c r="E3" i="1" s="1"/>
  <c r="G2" i="1"/>
  <c r="D2" i="1"/>
  <c r="E2" i="1" s="1"/>
</calcChain>
</file>

<file path=xl/sharedStrings.xml><?xml version="1.0" encoding="utf-8"?>
<sst xmlns="http://schemas.openxmlformats.org/spreadsheetml/2006/main" count="906" uniqueCount="56">
  <si>
    <t>CATEGORY</t>
  </si>
  <si>
    <t>STOCK VALUE</t>
  </si>
  <si>
    <t>TOTAL SALE</t>
  </si>
  <si>
    <t>AVG PER DAY</t>
  </si>
  <si>
    <t>MONTHLY SALE</t>
  </si>
  <si>
    <t xml:space="preserve">MAX STOCK </t>
  </si>
  <si>
    <t>REDUCE STOCK</t>
  </si>
  <si>
    <t>outlet</t>
  </si>
  <si>
    <t>BAKERY</t>
  </si>
  <si>
    <t>SABAH AL MADINA NAIF</t>
  </si>
  <si>
    <t>BEVERAGES</t>
  </si>
  <si>
    <t>BUTCHERY</t>
  </si>
  <si>
    <t>CHILLED AND DAIRY</t>
  </si>
  <si>
    <t>ELECTRONICS</t>
  </si>
  <si>
    <t>FISH</t>
  </si>
  <si>
    <t>FMCG FOOD</t>
  </si>
  <si>
    <t>FMCG NON FOOD</t>
  </si>
  <si>
    <t>FOOT WEAR</t>
  </si>
  <si>
    <t>FROZEN FOODS</t>
  </si>
  <si>
    <t>FRUITS&amp;VEGETABLE</t>
  </si>
  <si>
    <t>GARMENTS</t>
  </si>
  <si>
    <t>HOME APPLIANCE</t>
  </si>
  <si>
    <t>HOME FURNISHING</t>
  </si>
  <si>
    <t>HOUSEHOLD</t>
  </si>
  <si>
    <t>IMITATION COUNTER</t>
  </si>
  <si>
    <t>IT PRODUCTS</t>
  </si>
  <si>
    <t>JEWELLERIES &amp; ACCESSORIES</t>
  </si>
  <si>
    <t>LUGGAGE</t>
  </si>
  <si>
    <t>MEDICINE</t>
  </si>
  <si>
    <t>MOBILE &amp; ACCESSORIES</t>
  </si>
  <si>
    <t>ROASTERY</t>
  </si>
  <si>
    <t>SHOP CONSUMPTION</t>
  </si>
  <si>
    <t>STATIONERY</t>
  </si>
  <si>
    <t>TELEPHONE CARDS</t>
  </si>
  <si>
    <t>TEXTILES</t>
  </si>
  <si>
    <t>TOBACCO&amp;ACC</t>
  </si>
  <si>
    <t>TOYS  &amp; SPORTS</t>
  </si>
  <si>
    <t>WATCH &amp; ACCESSORIES</t>
  </si>
  <si>
    <t>BAKEMART</t>
  </si>
  <si>
    <t>SHAMS AL MADINA LIWAN</t>
  </si>
  <si>
    <t>DELICATESSEN</t>
  </si>
  <si>
    <t>AZHAR HYPER AL QOUZ</t>
  </si>
  <si>
    <t>SHAMS AL MADINA PORT SAEED</t>
  </si>
  <si>
    <t>AL MADINA SUPER STORE</t>
  </si>
  <si>
    <t>HILAL AL MADINA HYPERMARKET LLC CRYSTAL MALL</t>
  </si>
  <si>
    <t xml:space="preserve">SHAMS AL MADINA HYPERMAKET LLC SALEM MALL </t>
  </si>
  <si>
    <t>FIDA AL MADINA HYPERMARKET</t>
  </si>
  <si>
    <t>HADEQAT AL MADINA HYPERMARKET</t>
  </si>
  <si>
    <t>ROASTERY COUNTER</t>
  </si>
  <si>
    <t xml:space="preserve">SAHAT AL MADINA </t>
  </si>
  <si>
    <t>SAFA AL MADINA OUDMETHA</t>
  </si>
  <si>
    <t xml:space="preserve">TAY TAY </t>
  </si>
  <si>
    <t>BLUE PEARL</t>
  </si>
  <si>
    <t>AZHAR GT</t>
  </si>
  <si>
    <t>JAIS</t>
  </si>
  <si>
    <t>SAFA AL MADINA BURDUBAI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</si>
</sst>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 readingOrder="1"/>
    </xf>
    <xf numFmtId="4" fontId="1" fillId="2" borderId="1" xfId="0" applyNumberFormat="1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 readingOrder="1"/>
    </xf>
    <xf numFmtId="164" fontId="1" fillId="0" borderId="1" xfId="0" applyNumberFormat="1" applyFont="1" applyBorder="1" applyAlignment="1">
      <alignment horizontal="center" vertical="top" readingOrder="1"/>
    </xf>
    <xf numFmtId="3" fontId="1" fillId="3" borderId="1" xfId="0" applyNumberFormat="1" applyFont="1" applyFill="1" applyBorder="1" applyAlignment="1">
      <alignment horizontal="center" vertical="center" readingOrder="1"/>
    </xf>
    <xf numFmtId="1" fontId="2" fillId="0" borderId="1" xfId="0" applyNumberFormat="1" applyFont="1" applyBorder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readingOrder="1"/>
    </xf>
    <xf numFmtId="164" fontId="1" fillId="0" borderId="1" xfId="0" applyNumberFormat="1" applyFont="1" applyBorder="1" applyAlignment="1">
      <alignment horizontal="center" readingOrder="1"/>
    </xf>
    <xf numFmtId="3" fontId="1" fillId="3" borderId="1" xfId="0" applyNumberFormat="1" applyFont="1" applyFill="1" applyBorder="1" applyAlignment="1">
      <alignment horizontal="center" readingOrder="1"/>
    </xf>
    <xf numFmtId="1" fontId="1" fillId="4" borderId="1" xfId="0" applyNumberFormat="1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readingOrder="1"/>
    </xf>
    <xf numFmtId="0" fontId="1" fillId="0" borderId="3" xfId="1" applyFont="1" applyBorder="1" applyAlignment="1">
      <alignment horizontal="center" readingOrder="1"/>
    </xf>
  </cellXfs>
  <cellStyles count="2">
    <cellStyle name="Normal" xfId="0" builtinId="0"/>
    <cellStyle name="Normal 2" xfId="1" xr:uid="{999CFA81-C709-4014-9761-27D8E65B8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BE88-9118-4DEB-ABA6-3BD7B3F0C327}">
  <dimension ref="A1:H450"/>
  <sheetViews>
    <sheetView tabSelected="1" workbookViewId="0">
      <selection activeCell="B2" sqref="B2:B30"/>
    </sheetView>
  </sheetViews>
  <sheetFormatPr defaultRowHeight="15" x14ac:dyDescent="0.25"/>
  <cols>
    <col min="1" max="1" width="15.85546875" customWidth="1"/>
    <col min="2" max="2" width="12" customWidth="1"/>
    <col min="3" max="3" width="13.5703125" customWidth="1"/>
    <col min="4" max="4" width="13.7109375" customWidth="1"/>
    <col min="8" max="8" width="36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pans="1:8" x14ac:dyDescent="0.25">
      <c r="A2" s="6" t="s">
        <v>8</v>
      </c>
      <c r="B2" s="7">
        <v>8375.7265279999992</v>
      </c>
      <c r="C2" s="8">
        <v>321431.28999999998</v>
      </c>
      <c r="D2" s="9">
        <f>C2/265</f>
        <v>1212.9482641509433</v>
      </c>
      <c r="E2" s="9">
        <f>D2*30</f>
        <v>36388.4479245283</v>
      </c>
      <c r="F2" s="10">
        <v>8500</v>
      </c>
      <c r="G2" s="9">
        <f>F2-B2</f>
        <v>124.27347200000077</v>
      </c>
      <c r="H2" t="s">
        <v>9</v>
      </c>
    </row>
    <row r="3" spans="1:8" x14ac:dyDescent="0.25">
      <c r="A3" s="6" t="s">
        <v>10</v>
      </c>
      <c r="B3" s="7">
        <v>20570.0599</v>
      </c>
      <c r="C3" s="8">
        <v>427218.58</v>
      </c>
      <c r="D3" s="9">
        <f t="shared" ref="D3:D30" si="0">C3/265</f>
        <v>1612.1455849056604</v>
      </c>
      <c r="E3" s="9">
        <f t="shared" ref="E3:E30" si="1">D3*30</f>
        <v>48364.367547169808</v>
      </c>
      <c r="F3" s="10">
        <v>20000</v>
      </c>
      <c r="G3" s="9">
        <f t="shared" ref="G3:G30" si="2">F3-B3</f>
        <v>-570.0599000000002</v>
      </c>
      <c r="H3" t="s">
        <v>9</v>
      </c>
    </row>
    <row r="4" spans="1:8" x14ac:dyDescent="0.25">
      <c r="A4" s="6" t="s">
        <v>11</v>
      </c>
      <c r="B4" s="7">
        <v>4918.0723420000004</v>
      </c>
      <c r="C4" s="8">
        <v>1079489.6357</v>
      </c>
      <c r="D4" s="9">
        <f t="shared" si="0"/>
        <v>4073.5457950943396</v>
      </c>
      <c r="E4" s="9">
        <f t="shared" si="1"/>
        <v>122206.37385283019</v>
      </c>
      <c r="F4" s="10">
        <v>5000</v>
      </c>
      <c r="G4" s="9">
        <f t="shared" si="2"/>
        <v>81.92765799999961</v>
      </c>
      <c r="H4" t="s">
        <v>9</v>
      </c>
    </row>
    <row r="5" spans="1:8" x14ac:dyDescent="0.25">
      <c r="A5" s="6" t="s">
        <v>12</v>
      </c>
      <c r="B5" s="7">
        <v>28679.823199999999</v>
      </c>
      <c r="C5" s="8">
        <v>1176411.82</v>
      </c>
      <c r="D5" s="9">
        <f t="shared" si="0"/>
        <v>4439.2898867924532</v>
      </c>
      <c r="E5" s="9">
        <f t="shared" si="1"/>
        <v>133178.6966037736</v>
      </c>
      <c r="F5" s="10">
        <v>25000</v>
      </c>
      <c r="G5" s="9">
        <f t="shared" si="2"/>
        <v>-3679.8231999999989</v>
      </c>
      <c r="H5" t="s">
        <v>9</v>
      </c>
    </row>
    <row r="6" spans="1:8" x14ac:dyDescent="0.25">
      <c r="A6" s="6" t="s">
        <v>13</v>
      </c>
      <c r="B6" s="7">
        <v>91954.646699999998</v>
      </c>
      <c r="C6" s="8">
        <v>166094.09</v>
      </c>
      <c r="D6" s="9">
        <f t="shared" si="0"/>
        <v>626.77015094339617</v>
      </c>
      <c r="E6" s="9">
        <f t="shared" si="1"/>
        <v>18803.104528301887</v>
      </c>
      <c r="F6" s="10">
        <v>40000</v>
      </c>
      <c r="G6" s="9">
        <f t="shared" si="2"/>
        <v>-51954.646699999998</v>
      </c>
      <c r="H6" t="s">
        <v>9</v>
      </c>
    </row>
    <row r="7" spans="1:8" x14ac:dyDescent="0.25">
      <c r="A7" s="6" t="s">
        <v>14</v>
      </c>
      <c r="B7" s="7">
        <v>1365.0455400000001</v>
      </c>
      <c r="C7" s="8">
        <v>360441.90549999999</v>
      </c>
      <c r="D7" s="9">
        <f t="shared" si="0"/>
        <v>1360.1581339622642</v>
      </c>
      <c r="E7" s="9">
        <f t="shared" si="1"/>
        <v>40804.744018867925</v>
      </c>
      <c r="F7" s="10">
        <v>1400</v>
      </c>
      <c r="G7" s="9">
        <f t="shared" si="2"/>
        <v>34.954459999999926</v>
      </c>
      <c r="H7" t="s">
        <v>9</v>
      </c>
    </row>
    <row r="8" spans="1:8" x14ac:dyDescent="0.25">
      <c r="A8" s="6" t="s">
        <v>15</v>
      </c>
      <c r="B8" s="7">
        <v>328041.76240000001</v>
      </c>
      <c r="C8" s="8">
        <v>3024288.75</v>
      </c>
      <c r="D8" s="9">
        <f t="shared" si="0"/>
        <v>11412.41037735849</v>
      </c>
      <c r="E8" s="9">
        <f t="shared" si="1"/>
        <v>342372.3113207547</v>
      </c>
      <c r="F8" s="10">
        <v>325000</v>
      </c>
      <c r="G8" s="9">
        <f t="shared" si="2"/>
        <v>-3041.7624000000069</v>
      </c>
      <c r="H8" t="s">
        <v>9</v>
      </c>
    </row>
    <row r="9" spans="1:8" x14ac:dyDescent="0.25">
      <c r="A9" s="6" t="s">
        <v>16</v>
      </c>
      <c r="B9" s="7">
        <v>246679.45439999999</v>
      </c>
      <c r="C9" s="8">
        <v>1225389.08</v>
      </c>
      <c r="D9" s="9">
        <f t="shared" si="0"/>
        <v>4624.109735849057</v>
      </c>
      <c r="E9" s="9">
        <f t="shared" si="1"/>
        <v>138723.29207547172</v>
      </c>
      <c r="F9" s="10">
        <v>200000</v>
      </c>
      <c r="G9" s="9">
        <f t="shared" si="2"/>
        <v>-46679.454399999988</v>
      </c>
      <c r="H9" t="s">
        <v>9</v>
      </c>
    </row>
    <row r="10" spans="1:8" x14ac:dyDescent="0.25">
      <c r="A10" s="6" t="s">
        <v>17</v>
      </c>
      <c r="B10" s="7">
        <v>36951.941599999998</v>
      </c>
      <c r="C10" s="8">
        <v>61095.34</v>
      </c>
      <c r="D10" s="9">
        <f t="shared" si="0"/>
        <v>230.54845283018867</v>
      </c>
      <c r="E10" s="9">
        <f t="shared" si="1"/>
        <v>6916.4535849056601</v>
      </c>
      <c r="F10" s="10">
        <v>15000</v>
      </c>
      <c r="G10" s="9">
        <f t="shared" si="2"/>
        <v>-21951.941599999998</v>
      </c>
      <c r="H10" t="s">
        <v>9</v>
      </c>
    </row>
    <row r="11" spans="1:8" x14ac:dyDescent="0.25">
      <c r="A11" s="6" t="s">
        <v>18</v>
      </c>
      <c r="B11" s="7">
        <v>27272.776699999999</v>
      </c>
      <c r="C11" s="8">
        <v>273012.21999999997</v>
      </c>
      <c r="D11" s="9">
        <f t="shared" si="0"/>
        <v>1030.2347924528301</v>
      </c>
      <c r="E11" s="9">
        <f t="shared" si="1"/>
        <v>30907.043773584905</v>
      </c>
      <c r="F11" s="10">
        <v>27000</v>
      </c>
      <c r="G11" s="9">
        <f t="shared" si="2"/>
        <v>-272.77669999999853</v>
      </c>
      <c r="H11" t="s">
        <v>9</v>
      </c>
    </row>
    <row r="12" spans="1:8" x14ac:dyDescent="0.25">
      <c r="A12" s="6" t="s">
        <v>19</v>
      </c>
      <c r="B12" s="7">
        <v>334.21039400000001</v>
      </c>
      <c r="C12" s="8">
        <v>2077396.594</v>
      </c>
      <c r="D12" s="9">
        <f t="shared" si="0"/>
        <v>7839.2324301886792</v>
      </c>
      <c r="E12" s="9">
        <f t="shared" si="1"/>
        <v>235176.97290566037</v>
      </c>
      <c r="F12" s="10">
        <v>0</v>
      </c>
      <c r="G12" s="9">
        <f t="shared" si="2"/>
        <v>-334.21039400000001</v>
      </c>
      <c r="H12" t="s">
        <v>9</v>
      </c>
    </row>
    <row r="13" spans="1:8" x14ac:dyDescent="0.25">
      <c r="A13" s="6" t="s">
        <v>20</v>
      </c>
      <c r="B13" s="7">
        <v>216773.12049999999</v>
      </c>
      <c r="C13" s="8">
        <v>435559.33</v>
      </c>
      <c r="D13" s="9">
        <f t="shared" si="0"/>
        <v>1643.6201132075473</v>
      </c>
      <c r="E13" s="9">
        <f t="shared" si="1"/>
        <v>49308.603396226419</v>
      </c>
      <c r="F13" s="10">
        <v>100000</v>
      </c>
      <c r="G13" s="9">
        <f t="shared" si="2"/>
        <v>-116773.12049999999</v>
      </c>
      <c r="H13" t="s">
        <v>9</v>
      </c>
    </row>
    <row r="14" spans="1:8" x14ac:dyDescent="0.25">
      <c r="A14" s="6" t="s">
        <v>21</v>
      </c>
      <c r="B14" s="7">
        <v>80999.917799999996</v>
      </c>
      <c r="C14" s="8">
        <v>248750.19</v>
      </c>
      <c r="D14" s="9">
        <f t="shared" si="0"/>
        <v>938.67996226415096</v>
      </c>
      <c r="E14" s="9">
        <f t="shared" si="1"/>
        <v>28160.39886792453</v>
      </c>
      <c r="F14" s="10">
        <v>70000</v>
      </c>
      <c r="G14" s="9">
        <f t="shared" si="2"/>
        <v>-10999.917799999996</v>
      </c>
      <c r="H14" t="s">
        <v>9</v>
      </c>
    </row>
    <row r="15" spans="1:8" x14ac:dyDescent="0.25">
      <c r="A15" s="6" t="s">
        <v>22</v>
      </c>
      <c r="B15" s="7">
        <v>13091.420099999999</v>
      </c>
      <c r="C15" s="8">
        <v>90571.02</v>
      </c>
      <c r="D15" s="9">
        <f t="shared" si="0"/>
        <v>341.77743396226418</v>
      </c>
      <c r="E15" s="9">
        <f t="shared" si="1"/>
        <v>10253.323018867926</v>
      </c>
      <c r="F15" s="10">
        <v>13000</v>
      </c>
      <c r="G15" s="9">
        <f t="shared" si="2"/>
        <v>-91.420099999999366</v>
      </c>
      <c r="H15" t="s">
        <v>9</v>
      </c>
    </row>
    <row r="16" spans="1:8" x14ac:dyDescent="0.25">
      <c r="A16" s="6" t="s">
        <v>23</v>
      </c>
      <c r="B16" s="7">
        <v>127813.22245</v>
      </c>
      <c r="C16" s="8">
        <v>456166.93</v>
      </c>
      <c r="D16" s="9">
        <f t="shared" si="0"/>
        <v>1721.384641509434</v>
      </c>
      <c r="E16" s="9">
        <f t="shared" si="1"/>
        <v>51641.53924528302</v>
      </c>
      <c r="F16" s="10">
        <v>100000</v>
      </c>
      <c r="G16" s="9">
        <f t="shared" si="2"/>
        <v>-27813.222450000001</v>
      </c>
      <c r="H16" t="s">
        <v>9</v>
      </c>
    </row>
    <row r="17" spans="1:8" x14ac:dyDescent="0.25">
      <c r="A17" s="6" t="s">
        <v>24</v>
      </c>
      <c r="B17" s="7">
        <v>0.83330000000000004</v>
      </c>
      <c r="C17" s="8">
        <v>125.72</v>
      </c>
      <c r="D17" s="9">
        <f t="shared" si="0"/>
        <v>0.47441509433962264</v>
      </c>
      <c r="E17" s="9">
        <f t="shared" si="1"/>
        <v>14.232452830188679</v>
      </c>
      <c r="F17" s="10">
        <v>0</v>
      </c>
      <c r="G17" s="9">
        <f t="shared" si="2"/>
        <v>-0.83330000000000004</v>
      </c>
      <c r="H17" t="s">
        <v>9</v>
      </c>
    </row>
    <row r="18" spans="1:8" x14ac:dyDescent="0.25">
      <c r="A18" s="6" t="s">
        <v>25</v>
      </c>
      <c r="B18" s="7">
        <v>724.22209999999995</v>
      </c>
      <c r="C18" s="8">
        <v>376.66</v>
      </c>
      <c r="D18" s="9">
        <f t="shared" si="0"/>
        <v>1.4213584905660379</v>
      </c>
      <c r="E18" s="9">
        <f t="shared" si="1"/>
        <v>42.640754716981135</v>
      </c>
      <c r="F18" s="10">
        <v>0</v>
      </c>
      <c r="G18" s="9">
        <f t="shared" si="2"/>
        <v>-724.22209999999995</v>
      </c>
      <c r="H18" t="s">
        <v>9</v>
      </c>
    </row>
    <row r="19" spans="1:8" x14ac:dyDescent="0.25">
      <c r="A19" s="6" t="s">
        <v>26</v>
      </c>
      <c r="B19" s="7">
        <v>9018.0467000000008</v>
      </c>
      <c r="C19" s="8">
        <v>32305.19</v>
      </c>
      <c r="D19" s="9">
        <f t="shared" si="0"/>
        <v>121.90637735849056</v>
      </c>
      <c r="E19" s="9">
        <f t="shared" si="1"/>
        <v>3657.1913207547168</v>
      </c>
      <c r="F19" s="10">
        <v>5000</v>
      </c>
      <c r="G19" s="9">
        <f t="shared" si="2"/>
        <v>-4018.0467000000008</v>
      </c>
      <c r="H19" t="s">
        <v>9</v>
      </c>
    </row>
    <row r="20" spans="1:8" x14ac:dyDescent="0.25">
      <c r="A20" s="6" t="s">
        <v>27</v>
      </c>
      <c r="B20" s="7">
        <v>7212.1596</v>
      </c>
      <c r="C20" s="8">
        <v>38789.620000000003</v>
      </c>
      <c r="D20" s="9">
        <f t="shared" si="0"/>
        <v>146.37592452830191</v>
      </c>
      <c r="E20" s="9">
        <f t="shared" si="1"/>
        <v>4391.2777358490575</v>
      </c>
      <c r="F20" s="10">
        <v>7000</v>
      </c>
      <c r="G20" s="9">
        <f t="shared" si="2"/>
        <v>-212.15959999999995</v>
      </c>
      <c r="H20" t="s">
        <v>9</v>
      </c>
    </row>
    <row r="21" spans="1:8" x14ac:dyDescent="0.25">
      <c r="A21" s="6" t="s">
        <v>28</v>
      </c>
      <c r="B21" s="7">
        <v>20727.212871</v>
      </c>
      <c r="C21" s="8">
        <v>84311.38</v>
      </c>
      <c r="D21" s="9">
        <f t="shared" si="0"/>
        <v>318.15615094339626</v>
      </c>
      <c r="E21" s="9">
        <f t="shared" si="1"/>
        <v>9544.6845283018883</v>
      </c>
      <c r="F21" s="10">
        <v>10000</v>
      </c>
      <c r="G21" s="9">
        <f t="shared" si="2"/>
        <v>-10727.212871</v>
      </c>
      <c r="H21" t="s">
        <v>9</v>
      </c>
    </row>
    <row r="22" spans="1:8" x14ac:dyDescent="0.25">
      <c r="A22" s="6" t="s">
        <v>29</v>
      </c>
      <c r="B22" s="7">
        <v>13089.040499999999</v>
      </c>
      <c r="C22" s="8">
        <v>30942.09</v>
      </c>
      <c r="D22" s="9">
        <f t="shared" si="0"/>
        <v>116.7626037735849</v>
      </c>
      <c r="E22" s="9">
        <f t="shared" si="1"/>
        <v>3502.8781132075469</v>
      </c>
      <c r="F22" s="10">
        <v>5000</v>
      </c>
      <c r="G22" s="9">
        <f t="shared" si="2"/>
        <v>-8089.0404999999992</v>
      </c>
      <c r="H22" t="s">
        <v>9</v>
      </c>
    </row>
    <row r="23" spans="1:8" x14ac:dyDescent="0.25">
      <c r="A23" s="6" t="s">
        <v>30</v>
      </c>
      <c r="B23" s="7">
        <v>24665.737249999998</v>
      </c>
      <c r="C23" s="8">
        <v>672604.56550000003</v>
      </c>
      <c r="D23" s="9">
        <f t="shared" si="0"/>
        <v>2538.1304358490565</v>
      </c>
      <c r="E23" s="9">
        <f t="shared" si="1"/>
        <v>76143.91307547169</v>
      </c>
      <c r="F23" s="10">
        <v>24000</v>
      </c>
      <c r="G23" s="9">
        <f t="shared" si="2"/>
        <v>-665.73724999999831</v>
      </c>
      <c r="H23" t="s">
        <v>9</v>
      </c>
    </row>
    <row r="24" spans="1:8" x14ac:dyDescent="0.25">
      <c r="A24" s="6" t="s">
        <v>31</v>
      </c>
      <c r="B24" s="7">
        <v>935.41750000000002</v>
      </c>
      <c r="C24" s="8">
        <v>80648.09</v>
      </c>
      <c r="D24" s="9">
        <f t="shared" si="0"/>
        <v>304.33241509433964</v>
      </c>
      <c r="E24" s="9">
        <f t="shared" si="1"/>
        <v>9129.9724528301886</v>
      </c>
      <c r="F24" s="10">
        <v>0</v>
      </c>
      <c r="G24" s="9">
        <f t="shared" si="2"/>
        <v>-935.41750000000002</v>
      </c>
      <c r="H24" t="s">
        <v>9</v>
      </c>
    </row>
    <row r="25" spans="1:8" x14ac:dyDescent="0.25">
      <c r="A25" s="6" t="s">
        <v>32</v>
      </c>
      <c r="B25" s="7">
        <v>20738.872899999998</v>
      </c>
      <c r="C25" s="8">
        <v>65715.94</v>
      </c>
      <c r="D25" s="9">
        <f t="shared" si="0"/>
        <v>247.98467924528302</v>
      </c>
      <c r="E25" s="9">
        <f t="shared" si="1"/>
        <v>7439.5403773584903</v>
      </c>
      <c r="F25" s="10">
        <v>15000</v>
      </c>
      <c r="G25" s="9">
        <f t="shared" si="2"/>
        <v>-5738.8728999999985</v>
      </c>
      <c r="H25" t="s">
        <v>9</v>
      </c>
    </row>
    <row r="26" spans="1:8" x14ac:dyDescent="0.25">
      <c r="A26" s="6" t="s">
        <v>33</v>
      </c>
      <c r="B26" s="7">
        <v>14066.252699999999</v>
      </c>
      <c r="C26" s="8">
        <v>47283.12</v>
      </c>
      <c r="D26" s="9">
        <f t="shared" si="0"/>
        <v>178.42686792452832</v>
      </c>
      <c r="E26" s="9">
        <f t="shared" si="1"/>
        <v>5352.8060377358497</v>
      </c>
      <c r="F26" s="10">
        <v>1500</v>
      </c>
      <c r="G26" s="9">
        <f t="shared" si="2"/>
        <v>-12566.252699999999</v>
      </c>
      <c r="H26" t="s">
        <v>9</v>
      </c>
    </row>
    <row r="27" spans="1:8" x14ac:dyDescent="0.25">
      <c r="A27" s="6" t="s">
        <v>34</v>
      </c>
      <c r="B27" s="7">
        <v>3400.7784000000001</v>
      </c>
      <c r="C27" s="8">
        <v>6291.1</v>
      </c>
      <c r="D27" s="9">
        <f t="shared" si="0"/>
        <v>23.740000000000002</v>
      </c>
      <c r="E27" s="9">
        <f t="shared" si="1"/>
        <v>712.2</v>
      </c>
      <c r="F27" s="10">
        <v>3000</v>
      </c>
      <c r="G27" s="9">
        <f t="shared" si="2"/>
        <v>-400.77840000000015</v>
      </c>
      <c r="H27" t="s">
        <v>9</v>
      </c>
    </row>
    <row r="28" spans="1:8" x14ac:dyDescent="0.25">
      <c r="A28" s="6" t="s">
        <v>35</v>
      </c>
      <c r="B28" s="7">
        <v>24719.5782</v>
      </c>
      <c r="C28" s="8">
        <v>388896.13</v>
      </c>
      <c r="D28" s="9">
        <f t="shared" si="0"/>
        <v>1467.5325660377359</v>
      </c>
      <c r="E28" s="9">
        <f t="shared" si="1"/>
        <v>44025.97698113208</v>
      </c>
      <c r="F28" s="10">
        <v>20000</v>
      </c>
      <c r="G28" s="9">
        <f t="shared" si="2"/>
        <v>-4719.5781999999999</v>
      </c>
      <c r="H28" t="s">
        <v>9</v>
      </c>
    </row>
    <row r="29" spans="1:8" x14ac:dyDescent="0.25">
      <c r="A29" s="6" t="s">
        <v>36</v>
      </c>
      <c r="B29" s="7">
        <v>9038.1867000000002</v>
      </c>
      <c r="C29" s="8">
        <v>29110.799999999999</v>
      </c>
      <c r="D29" s="9">
        <f t="shared" si="0"/>
        <v>109.85207547169811</v>
      </c>
      <c r="E29" s="9">
        <f t="shared" si="1"/>
        <v>3295.5622641509435</v>
      </c>
      <c r="F29" s="10">
        <v>7000</v>
      </c>
      <c r="G29" s="9">
        <f t="shared" si="2"/>
        <v>-2038.1867000000002</v>
      </c>
      <c r="H29" t="s">
        <v>9</v>
      </c>
    </row>
    <row r="30" spans="1:8" x14ac:dyDescent="0.25">
      <c r="A30" s="6" t="s">
        <v>37</v>
      </c>
      <c r="B30" s="7">
        <v>34440.388299999999</v>
      </c>
      <c r="C30" s="8">
        <v>26840.44</v>
      </c>
      <c r="D30" s="9">
        <f t="shared" si="0"/>
        <v>101.28467924528302</v>
      </c>
      <c r="E30" s="9">
        <f t="shared" si="1"/>
        <v>3038.5403773584903</v>
      </c>
      <c r="F30" s="10">
        <v>10000</v>
      </c>
      <c r="G30" s="9">
        <f t="shared" si="2"/>
        <v>-24440.388299999999</v>
      </c>
      <c r="H30" t="s">
        <v>9</v>
      </c>
    </row>
    <row r="31" spans="1:8" x14ac:dyDescent="0.25">
      <c r="A31" s="6" t="s">
        <v>8</v>
      </c>
      <c r="B31" s="7">
        <v>8452.5923999999995</v>
      </c>
      <c r="C31" s="8">
        <v>386085.72</v>
      </c>
      <c r="D31" s="9">
        <f t="shared" ref="D31:D88" si="3">C31/265</f>
        <v>1456.9272452830187</v>
      </c>
      <c r="E31" s="9">
        <f>D31*30</f>
        <v>43707.81735849056</v>
      </c>
      <c r="F31" s="10">
        <v>8500</v>
      </c>
      <c r="G31" s="9">
        <f t="shared" ref="G31:G59" si="4">F31-B31</f>
        <v>47.407600000000457</v>
      </c>
      <c r="H31" t="s">
        <v>41</v>
      </c>
    </row>
    <row r="32" spans="1:8" x14ac:dyDescent="0.25">
      <c r="A32" s="6" t="s">
        <v>10</v>
      </c>
      <c r="B32" s="7">
        <v>61957.428711</v>
      </c>
      <c r="C32" s="8">
        <v>655174.28</v>
      </c>
      <c r="D32" s="9">
        <f t="shared" si="3"/>
        <v>2472.3557735849058</v>
      </c>
      <c r="E32" s="9">
        <f t="shared" ref="E32:E59" si="5">D32*30</f>
        <v>74170.673207547181</v>
      </c>
      <c r="F32" s="10">
        <v>40000</v>
      </c>
      <c r="G32" s="9">
        <f t="shared" si="4"/>
        <v>-21957.428711</v>
      </c>
      <c r="H32" t="s">
        <v>41</v>
      </c>
    </row>
    <row r="33" spans="1:8" x14ac:dyDescent="0.25">
      <c r="A33" s="6" t="s">
        <v>11</v>
      </c>
      <c r="B33" s="7">
        <v>10081.031476</v>
      </c>
      <c r="C33" s="8">
        <v>1731005.5921</v>
      </c>
      <c r="D33" s="9">
        <f t="shared" si="3"/>
        <v>6532.0965739622643</v>
      </c>
      <c r="E33" s="9">
        <f t="shared" si="5"/>
        <v>195962.89721886793</v>
      </c>
      <c r="F33" s="10">
        <v>12000</v>
      </c>
      <c r="G33" s="9">
        <f t="shared" si="4"/>
        <v>1918.9685239999999</v>
      </c>
      <c r="H33" t="s">
        <v>41</v>
      </c>
    </row>
    <row r="34" spans="1:8" x14ac:dyDescent="0.25">
      <c r="A34" s="6" t="s">
        <v>12</v>
      </c>
      <c r="B34" s="7">
        <v>39618.748683999998</v>
      </c>
      <c r="C34" s="8">
        <v>1638224.86</v>
      </c>
      <c r="D34" s="9">
        <f t="shared" si="3"/>
        <v>6181.9806037735852</v>
      </c>
      <c r="E34" s="9">
        <f t="shared" si="5"/>
        <v>185459.41811320756</v>
      </c>
      <c r="F34" s="10">
        <v>30000</v>
      </c>
      <c r="G34" s="9">
        <f t="shared" si="4"/>
        <v>-9618.7486839999983</v>
      </c>
      <c r="H34" t="s">
        <v>41</v>
      </c>
    </row>
    <row r="35" spans="1:8" x14ac:dyDescent="0.25">
      <c r="A35" s="6" t="s">
        <v>13</v>
      </c>
      <c r="B35" s="7">
        <v>444398.16409999999</v>
      </c>
      <c r="C35" s="8">
        <v>1151303.54</v>
      </c>
      <c r="D35" s="9">
        <f t="shared" si="3"/>
        <v>4344.5416603773583</v>
      </c>
      <c r="E35" s="9">
        <f t="shared" si="5"/>
        <v>130336.24981132075</v>
      </c>
      <c r="F35" s="10">
        <v>350000</v>
      </c>
      <c r="G35" s="9">
        <f t="shared" si="4"/>
        <v>-94398.164099999995</v>
      </c>
      <c r="H35" t="s">
        <v>41</v>
      </c>
    </row>
    <row r="36" spans="1:8" x14ac:dyDescent="0.25">
      <c r="A36" s="6" t="s">
        <v>14</v>
      </c>
      <c r="B36" s="7">
        <v>2421.449838</v>
      </c>
      <c r="C36" s="8">
        <v>862041.54189999995</v>
      </c>
      <c r="D36" s="9">
        <f t="shared" si="3"/>
        <v>3252.9869505660376</v>
      </c>
      <c r="E36" s="9">
        <f t="shared" si="5"/>
        <v>97589.608516981127</v>
      </c>
      <c r="F36" s="10">
        <v>3000</v>
      </c>
      <c r="G36" s="9">
        <f t="shared" si="4"/>
        <v>578.550162</v>
      </c>
      <c r="H36" t="s">
        <v>41</v>
      </c>
    </row>
    <row r="37" spans="1:8" x14ac:dyDescent="0.25">
      <c r="A37" s="6" t="s">
        <v>15</v>
      </c>
      <c r="B37" s="7">
        <v>938821.92626600002</v>
      </c>
      <c r="C37" s="8">
        <v>6793500.6500000004</v>
      </c>
      <c r="D37" s="9">
        <f t="shared" si="3"/>
        <v>25635.851509433964</v>
      </c>
      <c r="E37" s="9">
        <f t="shared" si="5"/>
        <v>769075.54528301896</v>
      </c>
      <c r="F37" s="10">
        <v>730000</v>
      </c>
      <c r="G37" s="9">
        <f t="shared" si="4"/>
        <v>-208821.92626600002</v>
      </c>
      <c r="H37" t="s">
        <v>41</v>
      </c>
    </row>
    <row r="38" spans="1:8" x14ac:dyDescent="0.25">
      <c r="A38" s="6" t="s">
        <v>16</v>
      </c>
      <c r="B38" s="7">
        <v>752808.22180000006</v>
      </c>
      <c r="C38" s="8">
        <v>3712919.09</v>
      </c>
      <c r="D38" s="9">
        <f t="shared" si="3"/>
        <v>14011.015433962264</v>
      </c>
      <c r="E38" s="9">
        <f t="shared" si="5"/>
        <v>420330.46301886794</v>
      </c>
      <c r="F38" s="10">
        <v>580000</v>
      </c>
      <c r="G38" s="9">
        <f t="shared" si="4"/>
        <v>-172808.22180000006</v>
      </c>
      <c r="H38" t="s">
        <v>41</v>
      </c>
    </row>
    <row r="39" spans="1:8" x14ac:dyDescent="0.25">
      <c r="A39" s="6" t="s">
        <v>17</v>
      </c>
      <c r="B39" s="7">
        <v>296115.39049999998</v>
      </c>
      <c r="C39" s="8">
        <v>1009774.86</v>
      </c>
      <c r="D39" s="9">
        <f t="shared" si="3"/>
        <v>3810.4711698113206</v>
      </c>
      <c r="E39" s="9">
        <f t="shared" si="5"/>
        <v>114314.13509433961</v>
      </c>
      <c r="F39" s="10">
        <v>220000</v>
      </c>
      <c r="G39" s="9">
        <f t="shared" si="4"/>
        <v>-76115.39049999998</v>
      </c>
      <c r="H39" t="s">
        <v>41</v>
      </c>
    </row>
    <row r="40" spans="1:8" x14ac:dyDescent="0.25">
      <c r="A40" s="6" t="s">
        <v>18</v>
      </c>
      <c r="B40" s="7">
        <v>94497.663908999995</v>
      </c>
      <c r="C40" s="8">
        <v>812206.6</v>
      </c>
      <c r="D40" s="9">
        <f t="shared" si="3"/>
        <v>3064.9305660377358</v>
      </c>
      <c r="E40" s="9">
        <f t="shared" si="5"/>
        <v>91947.916981132075</v>
      </c>
      <c r="F40" s="10">
        <v>85000</v>
      </c>
      <c r="G40" s="9">
        <f t="shared" si="4"/>
        <v>-9497.6639089999953</v>
      </c>
      <c r="H40" t="s">
        <v>41</v>
      </c>
    </row>
    <row r="41" spans="1:8" x14ac:dyDescent="0.25">
      <c r="A41" s="6" t="s">
        <v>19</v>
      </c>
      <c r="B41" s="7">
        <v>32216.560028</v>
      </c>
      <c r="C41" s="8">
        <v>5113456.3899999997</v>
      </c>
      <c r="D41" s="9">
        <f t="shared" si="3"/>
        <v>19296.061849056601</v>
      </c>
      <c r="E41" s="9">
        <f t="shared" si="5"/>
        <v>578881.85547169799</v>
      </c>
      <c r="F41" s="10">
        <v>30000</v>
      </c>
      <c r="G41" s="9">
        <f t="shared" si="4"/>
        <v>-2216.5600279999999</v>
      </c>
      <c r="H41" t="s">
        <v>41</v>
      </c>
    </row>
    <row r="42" spans="1:8" x14ac:dyDescent="0.25">
      <c r="A42" s="6" t="s">
        <v>20</v>
      </c>
      <c r="B42" s="7">
        <v>922833.66390000004</v>
      </c>
      <c r="C42" s="8">
        <v>3501939.99</v>
      </c>
      <c r="D42" s="9">
        <f t="shared" si="3"/>
        <v>13214.867886792454</v>
      </c>
      <c r="E42" s="9">
        <f t="shared" si="5"/>
        <v>396446.03660377359</v>
      </c>
      <c r="F42" s="10">
        <v>750000</v>
      </c>
      <c r="G42" s="9">
        <f t="shared" si="4"/>
        <v>-172833.66390000004</v>
      </c>
      <c r="H42" t="s">
        <v>41</v>
      </c>
    </row>
    <row r="43" spans="1:8" x14ac:dyDescent="0.25">
      <c r="A43" s="6" t="s">
        <v>21</v>
      </c>
      <c r="B43" s="7">
        <v>382923.48139999999</v>
      </c>
      <c r="C43" s="8">
        <v>1107887.02</v>
      </c>
      <c r="D43" s="9">
        <f t="shared" si="3"/>
        <v>4180.7057358490565</v>
      </c>
      <c r="E43" s="9">
        <f t="shared" si="5"/>
        <v>125421.1720754717</v>
      </c>
      <c r="F43" s="10">
        <v>300000</v>
      </c>
      <c r="G43" s="9">
        <f t="shared" si="4"/>
        <v>-82923.48139999999</v>
      </c>
      <c r="H43" t="s">
        <v>41</v>
      </c>
    </row>
    <row r="44" spans="1:8" x14ac:dyDescent="0.25">
      <c r="A44" s="6" t="s">
        <v>22</v>
      </c>
      <c r="B44" s="7">
        <v>160294.82939999999</v>
      </c>
      <c r="C44" s="8">
        <v>987200.92</v>
      </c>
      <c r="D44" s="9">
        <f t="shared" si="3"/>
        <v>3725.2864905660381</v>
      </c>
      <c r="E44" s="9">
        <f t="shared" si="5"/>
        <v>111758.59471698114</v>
      </c>
      <c r="F44" s="10">
        <v>150000</v>
      </c>
      <c r="G44" s="9">
        <f t="shared" si="4"/>
        <v>-10294.829399999988</v>
      </c>
      <c r="H44" t="s">
        <v>41</v>
      </c>
    </row>
    <row r="45" spans="1:8" x14ac:dyDescent="0.25">
      <c r="A45" s="6" t="s">
        <v>23</v>
      </c>
      <c r="B45" s="7">
        <v>320866.81060500001</v>
      </c>
      <c r="C45" s="8">
        <v>1107865.43</v>
      </c>
      <c r="D45" s="9">
        <f t="shared" si="3"/>
        <v>4180.6242641509434</v>
      </c>
      <c r="E45" s="9">
        <f t="shared" si="5"/>
        <v>125418.7279245283</v>
      </c>
      <c r="F45" s="10">
        <v>180000</v>
      </c>
      <c r="G45" s="9">
        <f t="shared" si="4"/>
        <v>-140866.81060500001</v>
      </c>
      <c r="H45" t="s">
        <v>41</v>
      </c>
    </row>
    <row r="46" spans="1:8" x14ac:dyDescent="0.25">
      <c r="A46" s="6" t="s">
        <v>24</v>
      </c>
      <c r="B46" s="7">
        <v>318.94889999999998</v>
      </c>
      <c r="C46" s="8">
        <v>1234.32</v>
      </c>
      <c r="D46" s="9">
        <f t="shared" si="3"/>
        <v>4.6578113207547167</v>
      </c>
      <c r="E46" s="9">
        <f t="shared" si="5"/>
        <v>139.7343396226415</v>
      </c>
      <c r="F46" s="10">
        <v>0</v>
      </c>
      <c r="G46" s="9">
        <f t="shared" si="4"/>
        <v>-318.94889999999998</v>
      </c>
      <c r="H46" t="s">
        <v>41</v>
      </c>
    </row>
    <row r="47" spans="1:8" x14ac:dyDescent="0.25">
      <c r="A47" s="6" t="s">
        <v>25</v>
      </c>
      <c r="B47" s="7">
        <v>593.76980000000003</v>
      </c>
      <c r="C47" s="8">
        <v>500.85</v>
      </c>
      <c r="D47" s="9">
        <f t="shared" si="3"/>
        <v>1.8900000000000001</v>
      </c>
      <c r="E47" s="9">
        <f t="shared" si="5"/>
        <v>56.7</v>
      </c>
      <c r="F47" s="10">
        <v>0</v>
      </c>
      <c r="G47" s="9">
        <f t="shared" si="4"/>
        <v>-593.76980000000003</v>
      </c>
      <c r="H47" t="s">
        <v>41</v>
      </c>
    </row>
    <row r="48" spans="1:8" x14ac:dyDescent="0.25">
      <c r="A48" s="6" t="s">
        <v>26</v>
      </c>
      <c r="B48" s="7">
        <v>39931.762799999997</v>
      </c>
      <c r="C48" s="8">
        <v>249612.25</v>
      </c>
      <c r="D48" s="9">
        <f t="shared" si="3"/>
        <v>941.93301886792449</v>
      </c>
      <c r="E48" s="9">
        <f t="shared" si="5"/>
        <v>28257.990566037734</v>
      </c>
      <c r="F48" s="10">
        <v>35000</v>
      </c>
      <c r="G48" s="9">
        <f t="shared" si="4"/>
        <v>-4931.7627999999968</v>
      </c>
      <c r="H48" t="s">
        <v>41</v>
      </c>
    </row>
    <row r="49" spans="1:8" x14ac:dyDescent="0.25">
      <c r="A49" s="6" t="s">
        <v>27</v>
      </c>
      <c r="B49" s="7">
        <v>94985.399300000005</v>
      </c>
      <c r="C49" s="8">
        <v>569233.03</v>
      </c>
      <c r="D49" s="9">
        <f t="shared" si="3"/>
        <v>2148.049169811321</v>
      </c>
      <c r="E49" s="9">
        <f t="shared" si="5"/>
        <v>64441.475094339628</v>
      </c>
      <c r="F49" s="10">
        <v>50000</v>
      </c>
      <c r="G49" s="9">
        <f t="shared" si="4"/>
        <v>-44985.399300000005</v>
      </c>
      <c r="H49" t="s">
        <v>41</v>
      </c>
    </row>
    <row r="50" spans="1:8" x14ac:dyDescent="0.25">
      <c r="A50" s="6" t="s">
        <v>28</v>
      </c>
      <c r="B50" s="7">
        <v>39771.791799999999</v>
      </c>
      <c r="C50" s="8">
        <v>338258.58</v>
      </c>
      <c r="D50" s="9">
        <f t="shared" si="3"/>
        <v>1276.4474716981133</v>
      </c>
      <c r="E50" s="9">
        <f t="shared" si="5"/>
        <v>38293.4241509434</v>
      </c>
      <c r="F50" s="10">
        <v>35000</v>
      </c>
      <c r="G50" s="9">
        <f t="shared" si="4"/>
        <v>-4771.7917999999991</v>
      </c>
      <c r="H50" t="s">
        <v>41</v>
      </c>
    </row>
    <row r="51" spans="1:8" x14ac:dyDescent="0.25">
      <c r="A51" s="6" t="s">
        <v>29</v>
      </c>
      <c r="B51" s="7">
        <v>868.73350000000005</v>
      </c>
      <c r="C51" s="8">
        <v>5712.41</v>
      </c>
      <c r="D51" s="9">
        <f t="shared" si="3"/>
        <v>21.556264150943395</v>
      </c>
      <c r="E51" s="9">
        <f t="shared" si="5"/>
        <v>646.68792452830189</v>
      </c>
      <c r="F51" s="10">
        <v>0</v>
      </c>
      <c r="G51" s="9">
        <f t="shared" si="4"/>
        <v>-868.73350000000005</v>
      </c>
      <c r="H51" t="s">
        <v>41</v>
      </c>
    </row>
    <row r="52" spans="1:8" x14ac:dyDescent="0.25">
      <c r="A52" s="6" t="s">
        <v>30</v>
      </c>
      <c r="B52" s="7">
        <v>83183.684991999995</v>
      </c>
      <c r="C52" s="8">
        <v>2773430.5022</v>
      </c>
      <c r="D52" s="9">
        <f t="shared" si="3"/>
        <v>10465.77548</v>
      </c>
      <c r="E52" s="9">
        <f t="shared" si="5"/>
        <v>313973.26439999999</v>
      </c>
      <c r="F52" s="10">
        <v>85000</v>
      </c>
      <c r="G52" s="9">
        <f t="shared" si="4"/>
        <v>1816.315008000005</v>
      </c>
      <c r="H52" t="s">
        <v>41</v>
      </c>
    </row>
    <row r="53" spans="1:8" x14ac:dyDescent="0.25">
      <c r="A53" s="6" t="s">
        <v>31</v>
      </c>
      <c r="B53" s="7">
        <v>24898.859100000001</v>
      </c>
      <c r="C53" s="8">
        <v>383416.32000000001</v>
      </c>
      <c r="D53" s="9">
        <f t="shared" si="3"/>
        <v>1446.854037735849</v>
      </c>
      <c r="E53" s="9">
        <f t="shared" si="5"/>
        <v>43405.621132075474</v>
      </c>
      <c r="F53" s="10">
        <v>15000</v>
      </c>
      <c r="G53" s="9">
        <f t="shared" si="4"/>
        <v>-9898.8591000000015</v>
      </c>
      <c r="H53" t="s">
        <v>41</v>
      </c>
    </row>
    <row r="54" spans="1:8" x14ac:dyDescent="0.25">
      <c r="A54" s="6" t="s">
        <v>32</v>
      </c>
      <c r="B54" s="7">
        <v>62282.3874</v>
      </c>
      <c r="C54" s="8">
        <v>229673.67</v>
      </c>
      <c r="D54" s="9">
        <f t="shared" si="3"/>
        <v>866.69309433962269</v>
      </c>
      <c r="E54" s="9">
        <f t="shared" si="5"/>
        <v>26000.792830188682</v>
      </c>
      <c r="F54" s="10">
        <v>50000</v>
      </c>
      <c r="G54" s="9">
        <f t="shared" si="4"/>
        <v>-12282.3874</v>
      </c>
      <c r="H54" t="s">
        <v>41</v>
      </c>
    </row>
    <row r="55" spans="1:8" x14ac:dyDescent="0.25">
      <c r="A55" s="6" t="s">
        <v>33</v>
      </c>
      <c r="B55" s="7">
        <v>10523.027899999999</v>
      </c>
      <c r="C55" s="8">
        <v>1253686.7</v>
      </c>
      <c r="D55" s="9">
        <f t="shared" si="3"/>
        <v>4730.8932075471694</v>
      </c>
      <c r="E55" s="9">
        <f t="shared" si="5"/>
        <v>141926.79622641508</v>
      </c>
      <c r="F55" s="10">
        <v>10000</v>
      </c>
      <c r="G55" s="9">
        <f t="shared" si="4"/>
        <v>-523.02789999999914</v>
      </c>
      <c r="H55" t="s">
        <v>41</v>
      </c>
    </row>
    <row r="56" spans="1:8" x14ac:dyDescent="0.25">
      <c r="A56" s="6" t="s">
        <v>34</v>
      </c>
      <c r="B56" s="7">
        <v>48083.361492000004</v>
      </c>
      <c r="C56" s="8">
        <v>177747.9</v>
      </c>
      <c r="D56" s="9">
        <f t="shared" si="3"/>
        <v>670.74679245283016</v>
      </c>
      <c r="E56" s="9">
        <f t="shared" si="5"/>
        <v>20122.403773584905</v>
      </c>
      <c r="F56" s="10">
        <v>45000</v>
      </c>
      <c r="G56" s="9">
        <f t="shared" si="4"/>
        <v>-3083.3614920000036</v>
      </c>
      <c r="H56" t="s">
        <v>41</v>
      </c>
    </row>
    <row r="57" spans="1:8" x14ac:dyDescent="0.25">
      <c r="A57" s="6" t="s">
        <v>35</v>
      </c>
      <c r="B57" s="7">
        <v>16714.9784</v>
      </c>
      <c r="C57" s="8">
        <v>83579.08</v>
      </c>
      <c r="D57" s="9">
        <f t="shared" si="3"/>
        <v>315.39275471698113</v>
      </c>
      <c r="E57" s="9">
        <f t="shared" si="5"/>
        <v>9461.7826415094332</v>
      </c>
      <c r="F57" s="10">
        <v>5000</v>
      </c>
      <c r="G57" s="9">
        <f t="shared" si="4"/>
        <v>-11714.9784</v>
      </c>
      <c r="H57" t="s">
        <v>41</v>
      </c>
    </row>
    <row r="58" spans="1:8" x14ac:dyDescent="0.25">
      <c r="A58" s="6" t="s">
        <v>36</v>
      </c>
      <c r="B58" s="7">
        <v>42550.189700000003</v>
      </c>
      <c r="C58" s="8">
        <v>209804.04</v>
      </c>
      <c r="D58" s="9">
        <f t="shared" si="3"/>
        <v>791.71335849056607</v>
      </c>
      <c r="E58" s="9">
        <f t="shared" si="5"/>
        <v>23751.400754716982</v>
      </c>
      <c r="F58" s="10">
        <v>40000</v>
      </c>
      <c r="G58" s="9">
        <f t="shared" si="4"/>
        <v>-2550.1897000000026</v>
      </c>
      <c r="H58" t="s">
        <v>41</v>
      </c>
    </row>
    <row r="59" spans="1:8" x14ac:dyDescent="0.25">
      <c r="A59" s="6" t="s">
        <v>37</v>
      </c>
      <c r="B59" s="7">
        <v>103546.73239999999</v>
      </c>
      <c r="C59" s="8">
        <v>415714.3</v>
      </c>
      <c r="D59" s="9">
        <f t="shared" si="3"/>
        <v>1568.7332075471697</v>
      </c>
      <c r="E59" s="9">
        <f t="shared" si="5"/>
        <v>47061.996226415089</v>
      </c>
      <c r="F59" s="10">
        <v>100000</v>
      </c>
      <c r="G59" s="9">
        <f t="shared" si="4"/>
        <v>-3546.7323999999935</v>
      </c>
      <c r="H59" t="s">
        <v>41</v>
      </c>
    </row>
    <row r="60" spans="1:8" x14ac:dyDescent="0.25">
      <c r="A60" s="6" t="s">
        <v>8</v>
      </c>
      <c r="B60" s="7">
        <v>5692.0509000000002</v>
      </c>
      <c r="C60" s="8">
        <v>300585.31</v>
      </c>
      <c r="D60" s="9">
        <f t="shared" si="3"/>
        <v>1134.2841886792453</v>
      </c>
      <c r="E60" s="9">
        <f>D60*30</f>
        <v>34028.52566037736</v>
      </c>
      <c r="F60" s="10">
        <v>5000</v>
      </c>
      <c r="G60" s="9">
        <f>F60-B60</f>
        <v>-692.05090000000018</v>
      </c>
      <c r="H60" t="s">
        <v>42</v>
      </c>
    </row>
    <row r="61" spans="1:8" x14ac:dyDescent="0.25">
      <c r="A61" s="6" t="s">
        <v>10</v>
      </c>
      <c r="B61" s="7">
        <v>25084.109799999998</v>
      </c>
      <c r="C61" s="8">
        <v>387705.8</v>
      </c>
      <c r="D61" s="9">
        <f t="shared" si="3"/>
        <v>1463.0407547169812</v>
      </c>
      <c r="E61" s="9">
        <f t="shared" ref="E61:E88" si="6">D61*30</f>
        <v>43891.222641509434</v>
      </c>
      <c r="F61" s="10">
        <v>15000</v>
      </c>
      <c r="G61" s="9">
        <f t="shared" ref="G61:G88" si="7">F61-B61</f>
        <v>-10084.109799999998</v>
      </c>
      <c r="H61" t="s">
        <v>42</v>
      </c>
    </row>
    <row r="62" spans="1:8" x14ac:dyDescent="0.25">
      <c r="A62" s="6" t="s">
        <v>11</v>
      </c>
      <c r="B62" s="7">
        <v>5903.1873679999999</v>
      </c>
      <c r="C62" s="8">
        <v>1430039.6370999999</v>
      </c>
      <c r="D62" s="9">
        <f t="shared" si="3"/>
        <v>5396.3759890566034</v>
      </c>
      <c r="E62" s="9">
        <f t="shared" si="6"/>
        <v>161891.27967169811</v>
      </c>
      <c r="F62" s="10">
        <v>6000</v>
      </c>
      <c r="G62" s="9">
        <f t="shared" si="7"/>
        <v>96.812632000000121</v>
      </c>
      <c r="H62" t="s">
        <v>42</v>
      </c>
    </row>
    <row r="63" spans="1:8" x14ac:dyDescent="0.25">
      <c r="A63" s="6" t="s">
        <v>12</v>
      </c>
      <c r="B63" s="7">
        <v>23063.372500000001</v>
      </c>
      <c r="C63" s="8">
        <v>1278606.0900000001</v>
      </c>
      <c r="D63" s="9">
        <f t="shared" si="3"/>
        <v>4824.9286415094339</v>
      </c>
      <c r="E63" s="9">
        <f t="shared" si="6"/>
        <v>144747.85924528301</v>
      </c>
      <c r="F63" s="10">
        <v>25000</v>
      </c>
      <c r="G63" s="9">
        <f t="shared" si="7"/>
        <v>1936.6274999999987</v>
      </c>
      <c r="H63" t="s">
        <v>42</v>
      </c>
    </row>
    <row r="64" spans="1:8" x14ac:dyDescent="0.25">
      <c r="A64" s="6" t="s">
        <v>13</v>
      </c>
      <c r="B64" s="7">
        <v>56098.911800000002</v>
      </c>
      <c r="C64" s="8">
        <v>74206.33</v>
      </c>
      <c r="D64" s="9">
        <f t="shared" si="3"/>
        <v>280.02388679245286</v>
      </c>
      <c r="E64" s="9">
        <f t="shared" si="6"/>
        <v>8400.716603773586</v>
      </c>
      <c r="F64" s="10">
        <v>20000</v>
      </c>
      <c r="G64" s="9">
        <f t="shared" si="7"/>
        <v>-36098.911800000002</v>
      </c>
      <c r="H64" t="s">
        <v>42</v>
      </c>
    </row>
    <row r="65" spans="1:8" x14ac:dyDescent="0.25">
      <c r="A65" s="6" t="s">
        <v>14</v>
      </c>
      <c r="B65" s="7">
        <v>1419.7237029999999</v>
      </c>
      <c r="C65" s="8">
        <v>470223.4865</v>
      </c>
      <c r="D65" s="9">
        <f t="shared" si="3"/>
        <v>1774.4282509433963</v>
      </c>
      <c r="E65" s="9">
        <f t="shared" si="6"/>
        <v>53232.847528301885</v>
      </c>
      <c r="F65" s="10">
        <v>1500</v>
      </c>
      <c r="G65" s="9">
        <f t="shared" si="7"/>
        <v>80.276297000000113</v>
      </c>
      <c r="H65" t="s">
        <v>42</v>
      </c>
    </row>
    <row r="66" spans="1:8" x14ac:dyDescent="0.25">
      <c r="A66" s="6" t="s">
        <v>15</v>
      </c>
      <c r="B66" s="7">
        <v>324373.99741000001</v>
      </c>
      <c r="C66" s="8">
        <v>2344640.693</v>
      </c>
      <c r="D66" s="9">
        <f t="shared" si="3"/>
        <v>8847.7007283018866</v>
      </c>
      <c r="E66" s="9">
        <f t="shared" si="6"/>
        <v>265431.02184905659</v>
      </c>
      <c r="F66" s="10">
        <v>280000</v>
      </c>
      <c r="G66" s="9">
        <f t="shared" si="7"/>
        <v>-44373.997410000011</v>
      </c>
      <c r="H66" t="s">
        <v>42</v>
      </c>
    </row>
    <row r="67" spans="1:8" x14ac:dyDescent="0.25">
      <c r="A67" s="6" t="s">
        <v>16</v>
      </c>
      <c r="B67" s="7">
        <v>222706.24369999999</v>
      </c>
      <c r="C67" s="8">
        <v>661238.43000000005</v>
      </c>
      <c r="D67" s="9">
        <f t="shared" si="3"/>
        <v>2495.2393584905662</v>
      </c>
      <c r="E67" s="9">
        <f t="shared" si="6"/>
        <v>74857.180754716988</v>
      </c>
      <c r="F67" s="10">
        <v>150000</v>
      </c>
      <c r="G67" s="9">
        <f t="shared" si="7"/>
        <v>-72706.243699999992</v>
      </c>
      <c r="H67" t="s">
        <v>42</v>
      </c>
    </row>
    <row r="68" spans="1:8" x14ac:dyDescent="0.25">
      <c r="A68" s="6" t="s">
        <v>17</v>
      </c>
      <c r="B68" s="7">
        <v>57780.5291</v>
      </c>
      <c r="C68" s="8">
        <v>104534.36</v>
      </c>
      <c r="D68" s="9">
        <f t="shared" si="3"/>
        <v>394.46928301886794</v>
      </c>
      <c r="E68" s="9">
        <f t="shared" si="6"/>
        <v>11834.078490566038</v>
      </c>
      <c r="F68" s="10">
        <v>30000</v>
      </c>
      <c r="G68" s="9">
        <f t="shared" si="7"/>
        <v>-27780.5291</v>
      </c>
      <c r="H68" t="s">
        <v>42</v>
      </c>
    </row>
    <row r="69" spans="1:8" x14ac:dyDescent="0.25">
      <c r="A69" s="6" t="s">
        <v>18</v>
      </c>
      <c r="B69" s="7">
        <v>50380.441229999997</v>
      </c>
      <c r="C69" s="8">
        <v>321333.95</v>
      </c>
      <c r="D69" s="9">
        <f t="shared" si="3"/>
        <v>1212.5809433962265</v>
      </c>
      <c r="E69" s="9">
        <f t="shared" si="6"/>
        <v>36377.428301886794</v>
      </c>
      <c r="F69" s="10">
        <v>32000</v>
      </c>
      <c r="G69" s="9">
        <f t="shared" si="7"/>
        <v>-18380.441229999997</v>
      </c>
      <c r="H69" t="s">
        <v>42</v>
      </c>
    </row>
    <row r="70" spans="1:8" x14ac:dyDescent="0.25">
      <c r="A70" s="6" t="s">
        <v>19</v>
      </c>
      <c r="B70" s="7">
        <v>10417.434407000001</v>
      </c>
      <c r="C70" s="8">
        <v>2791294.9248000002</v>
      </c>
      <c r="D70" s="9">
        <f t="shared" si="3"/>
        <v>10533.1883954717</v>
      </c>
      <c r="E70" s="9">
        <f t="shared" si="6"/>
        <v>315995.651864151</v>
      </c>
      <c r="F70" s="10">
        <v>10000</v>
      </c>
      <c r="G70" s="9">
        <f t="shared" si="7"/>
        <v>-417.43440700000065</v>
      </c>
      <c r="H70" t="s">
        <v>42</v>
      </c>
    </row>
    <row r="71" spans="1:8" x14ac:dyDescent="0.25">
      <c r="A71" s="6" t="s">
        <v>20</v>
      </c>
      <c r="B71" s="7">
        <v>163973.12469999999</v>
      </c>
      <c r="C71" s="8">
        <v>314746.69919999997</v>
      </c>
      <c r="D71" s="9">
        <f t="shared" si="3"/>
        <v>1187.7233932075471</v>
      </c>
      <c r="E71" s="9">
        <f t="shared" si="6"/>
        <v>35631.701796226414</v>
      </c>
      <c r="F71" s="10">
        <v>80000</v>
      </c>
      <c r="G71" s="9">
        <f t="shared" si="7"/>
        <v>-83973.124699999986</v>
      </c>
      <c r="H71" t="s">
        <v>42</v>
      </c>
    </row>
    <row r="72" spans="1:8" x14ac:dyDescent="0.25">
      <c r="A72" s="6" t="s">
        <v>21</v>
      </c>
      <c r="B72" s="7">
        <v>26712.367200000001</v>
      </c>
      <c r="C72" s="8">
        <v>87237.14</v>
      </c>
      <c r="D72" s="9">
        <f t="shared" si="3"/>
        <v>329.1967547169811</v>
      </c>
      <c r="E72" s="9">
        <f t="shared" si="6"/>
        <v>9875.902641509434</v>
      </c>
      <c r="F72" s="10">
        <v>25000</v>
      </c>
      <c r="G72" s="9">
        <f t="shared" si="7"/>
        <v>-1712.3672000000006</v>
      </c>
      <c r="H72" t="s">
        <v>42</v>
      </c>
    </row>
    <row r="73" spans="1:8" x14ac:dyDescent="0.25">
      <c r="A73" s="6" t="s">
        <v>22</v>
      </c>
      <c r="B73" s="7">
        <v>12294.822399999999</v>
      </c>
      <c r="C73" s="8">
        <v>77195.11</v>
      </c>
      <c r="D73" s="9">
        <f t="shared" si="3"/>
        <v>291.30230188679246</v>
      </c>
      <c r="E73" s="9">
        <f t="shared" si="6"/>
        <v>8739.0690566037738</v>
      </c>
      <c r="F73" s="10">
        <v>12000</v>
      </c>
      <c r="G73" s="9">
        <f t="shared" si="7"/>
        <v>-294.82239999999911</v>
      </c>
      <c r="H73" t="s">
        <v>42</v>
      </c>
    </row>
    <row r="74" spans="1:8" x14ac:dyDescent="0.25">
      <c r="A74" s="6" t="s">
        <v>23</v>
      </c>
      <c r="B74" s="7">
        <v>92649.676099999997</v>
      </c>
      <c r="C74" s="8">
        <v>278990.07</v>
      </c>
      <c r="D74" s="9">
        <f t="shared" si="3"/>
        <v>1052.7927169811321</v>
      </c>
      <c r="E74" s="9">
        <f t="shared" si="6"/>
        <v>31583.781509433964</v>
      </c>
      <c r="F74" s="10">
        <v>65000</v>
      </c>
      <c r="G74" s="9">
        <f t="shared" si="7"/>
        <v>-27649.676099999997</v>
      </c>
      <c r="H74" t="s">
        <v>42</v>
      </c>
    </row>
    <row r="75" spans="1:8" x14ac:dyDescent="0.25">
      <c r="A75" s="6" t="s">
        <v>24</v>
      </c>
      <c r="B75" s="7">
        <v>124.5</v>
      </c>
      <c r="C75" s="8">
        <v>99</v>
      </c>
      <c r="D75" s="9">
        <f t="shared" si="3"/>
        <v>0.37358490566037733</v>
      </c>
      <c r="E75" s="9">
        <f t="shared" si="6"/>
        <v>11.20754716981132</v>
      </c>
      <c r="F75" s="10">
        <v>0</v>
      </c>
      <c r="G75" s="9">
        <f t="shared" si="7"/>
        <v>-124.5</v>
      </c>
      <c r="H75" t="s">
        <v>42</v>
      </c>
    </row>
    <row r="76" spans="1:8" x14ac:dyDescent="0.25">
      <c r="A76" s="6" t="s">
        <v>25</v>
      </c>
      <c r="B76" s="7">
        <v>843.15350000000001</v>
      </c>
      <c r="C76" s="8">
        <v>1247.6400000000001</v>
      </c>
      <c r="D76" s="9">
        <f t="shared" si="3"/>
        <v>4.7080754716981135</v>
      </c>
      <c r="E76" s="9">
        <f t="shared" si="6"/>
        <v>141.24226415094341</v>
      </c>
      <c r="F76" s="10">
        <v>0</v>
      </c>
      <c r="G76" s="9">
        <f t="shared" si="7"/>
        <v>-843.15350000000001</v>
      </c>
      <c r="H76" t="s">
        <v>42</v>
      </c>
    </row>
    <row r="77" spans="1:8" x14ac:dyDescent="0.25">
      <c r="A77" s="6" t="s">
        <v>26</v>
      </c>
      <c r="B77" s="7">
        <v>16183.5288</v>
      </c>
      <c r="C77" s="8">
        <v>13079.71</v>
      </c>
      <c r="D77" s="9">
        <f t="shared" si="3"/>
        <v>49.357396226415091</v>
      </c>
      <c r="E77" s="9">
        <f t="shared" si="6"/>
        <v>1480.7218867924528</v>
      </c>
      <c r="F77" s="10">
        <v>5000</v>
      </c>
      <c r="G77" s="9">
        <f t="shared" si="7"/>
        <v>-11183.5288</v>
      </c>
      <c r="H77" t="s">
        <v>42</v>
      </c>
    </row>
    <row r="78" spans="1:8" x14ac:dyDescent="0.25">
      <c r="A78" s="6" t="s">
        <v>27</v>
      </c>
      <c r="B78" s="7">
        <v>9142.0519000000004</v>
      </c>
      <c r="C78" s="8">
        <v>29856.63</v>
      </c>
      <c r="D78" s="9">
        <f t="shared" si="3"/>
        <v>112.6665283018868</v>
      </c>
      <c r="E78" s="9">
        <f t="shared" si="6"/>
        <v>3379.9958490566041</v>
      </c>
      <c r="F78" s="10">
        <v>7000</v>
      </c>
      <c r="G78" s="9">
        <f t="shared" si="7"/>
        <v>-2142.0519000000004</v>
      </c>
      <c r="H78" t="s">
        <v>42</v>
      </c>
    </row>
    <row r="79" spans="1:8" x14ac:dyDescent="0.25">
      <c r="A79" s="6" t="s">
        <v>28</v>
      </c>
      <c r="B79" s="7">
        <v>18658.8531</v>
      </c>
      <c r="C79" s="8">
        <v>32302.32</v>
      </c>
      <c r="D79" s="9">
        <f t="shared" si="3"/>
        <v>121.89554716981132</v>
      </c>
      <c r="E79" s="9">
        <f t="shared" si="6"/>
        <v>3656.8664150943396</v>
      </c>
      <c r="F79" s="10">
        <v>7000</v>
      </c>
      <c r="G79" s="9">
        <f t="shared" si="7"/>
        <v>-11658.8531</v>
      </c>
      <c r="H79" t="s">
        <v>42</v>
      </c>
    </row>
    <row r="80" spans="1:8" x14ac:dyDescent="0.25">
      <c r="A80" s="6" t="s">
        <v>29</v>
      </c>
      <c r="B80" s="7">
        <v>226.05070000000001</v>
      </c>
      <c r="C80" s="8">
        <v>9.1999999999999993</v>
      </c>
      <c r="D80" s="9">
        <f t="shared" si="3"/>
        <v>3.471698113207547E-2</v>
      </c>
      <c r="E80" s="9">
        <f t="shared" si="6"/>
        <v>1.0415094339622641</v>
      </c>
      <c r="F80" s="10">
        <v>0</v>
      </c>
      <c r="G80" s="9">
        <f t="shared" si="7"/>
        <v>-226.05070000000001</v>
      </c>
      <c r="H80" t="s">
        <v>42</v>
      </c>
    </row>
    <row r="81" spans="1:8" x14ac:dyDescent="0.25">
      <c r="A81" s="6" t="s">
        <v>30</v>
      </c>
      <c r="B81" s="7">
        <v>24236.294668999999</v>
      </c>
      <c r="C81" s="8">
        <v>635452.36010000005</v>
      </c>
      <c r="D81" s="9">
        <f t="shared" si="3"/>
        <v>2397.9334343396226</v>
      </c>
      <c r="E81" s="9">
        <f t="shared" si="6"/>
        <v>71938.003030188673</v>
      </c>
      <c r="F81" s="10">
        <v>22000</v>
      </c>
      <c r="G81" s="9">
        <f t="shared" si="7"/>
        <v>-2236.294668999999</v>
      </c>
      <c r="H81" t="s">
        <v>42</v>
      </c>
    </row>
    <row r="82" spans="1:8" x14ac:dyDescent="0.25">
      <c r="A82" s="6" t="s">
        <v>31</v>
      </c>
      <c r="B82" s="7">
        <v>14127.459000000001</v>
      </c>
      <c r="C82" s="8">
        <v>132486.57</v>
      </c>
      <c r="D82" s="9">
        <f t="shared" si="3"/>
        <v>499.94932075471701</v>
      </c>
      <c r="E82" s="9">
        <f t="shared" si="6"/>
        <v>14998.479622641511</v>
      </c>
      <c r="F82" s="10">
        <v>1000</v>
      </c>
      <c r="G82" s="9">
        <f t="shared" si="7"/>
        <v>-13127.459000000001</v>
      </c>
      <c r="H82" t="s">
        <v>42</v>
      </c>
    </row>
    <row r="83" spans="1:8" x14ac:dyDescent="0.25">
      <c r="A83" s="6" t="s">
        <v>32</v>
      </c>
      <c r="B83" s="7">
        <v>25294.747599999999</v>
      </c>
      <c r="C83" s="8">
        <v>40322.03</v>
      </c>
      <c r="D83" s="9">
        <f t="shared" si="3"/>
        <v>152.1586037735849</v>
      </c>
      <c r="E83" s="9">
        <f t="shared" si="6"/>
        <v>4564.7581132075466</v>
      </c>
      <c r="F83" s="10">
        <v>10000</v>
      </c>
      <c r="G83" s="9">
        <f t="shared" si="7"/>
        <v>-15294.747599999999</v>
      </c>
      <c r="H83" t="s">
        <v>42</v>
      </c>
    </row>
    <row r="84" spans="1:8" x14ac:dyDescent="0.25">
      <c r="A84" s="6" t="s">
        <v>33</v>
      </c>
      <c r="B84" s="7">
        <v>6162.9534999999996</v>
      </c>
      <c r="C84" s="8">
        <v>44953</v>
      </c>
      <c r="D84" s="9">
        <f t="shared" si="3"/>
        <v>169.63396226415094</v>
      </c>
      <c r="E84" s="9">
        <f t="shared" si="6"/>
        <v>5089.0188679245284</v>
      </c>
      <c r="F84" s="10">
        <v>1500</v>
      </c>
      <c r="G84" s="9">
        <f t="shared" si="7"/>
        <v>-4662.9534999999996</v>
      </c>
      <c r="H84" t="s">
        <v>42</v>
      </c>
    </row>
    <row r="85" spans="1:8" x14ac:dyDescent="0.25">
      <c r="A85" s="6" t="s">
        <v>34</v>
      </c>
      <c r="B85" s="7">
        <v>2801.4688000000001</v>
      </c>
      <c r="C85" s="8">
        <v>11532.54</v>
      </c>
      <c r="D85" s="9">
        <f t="shared" si="3"/>
        <v>43.51901886792453</v>
      </c>
      <c r="E85" s="9">
        <f t="shared" si="6"/>
        <v>1305.5705660377359</v>
      </c>
      <c r="F85" s="10">
        <v>2500</v>
      </c>
      <c r="G85" s="9">
        <f t="shared" si="7"/>
        <v>-301.4688000000001</v>
      </c>
      <c r="H85" t="s">
        <v>42</v>
      </c>
    </row>
    <row r="86" spans="1:8" x14ac:dyDescent="0.25">
      <c r="A86" s="6" t="s">
        <v>35</v>
      </c>
      <c r="B86" s="7">
        <v>25536.170399999999</v>
      </c>
      <c r="C86" s="8">
        <v>405045.77</v>
      </c>
      <c r="D86" s="9">
        <f t="shared" si="3"/>
        <v>1528.4746037735849</v>
      </c>
      <c r="E86" s="9">
        <f t="shared" si="6"/>
        <v>45854.238113207546</v>
      </c>
      <c r="F86" s="10">
        <v>20000</v>
      </c>
      <c r="G86" s="9">
        <f t="shared" si="7"/>
        <v>-5536.1703999999991</v>
      </c>
      <c r="H86" t="s">
        <v>42</v>
      </c>
    </row>
    <row r="87" spans="1:8" x14ac:dyDescent="0.25">
      <c r="A87" s="6" t="s">
        <v>36</v>
      </c>
      <c r="B87" s="7">
        <v>13352.718500000001</v>
      </c>
      <c r="C87" s="8">
        <v>21465.86</v>
      </c>
      <c r="D87" s="9">
        <f t="shared" si="3"/>
        <v>81.00324528301887</v>
      </c>
      <c r="E87" s="9">
        <f t="shared" si="6"/>
        <v>2430.097358490566</v>
      </c>
      <c r="F87" s="10">
        <v>6000</v>
      </c>
      <c r="G87" s="9">
        <f t="shared" si="7"/>
        <v>-7352.7185000000009</v>
      </c>
      <c r="H87" t="s">
        <v>42</v>
      </c>
    </row>
    <row r="88" spans="1:8" x14ac:dyDescent="0.25">
      <c r="A88" s="6" t="s">
        <v>37</v>
      </c>
      <c r="B88" s="7">
        <v>1115.8588</v>
      </c>
      <c r="C88" s="8">
        <v>159.99</v>
      </c>
      <c r="D88" s="9">
        <f t="shared" si="3"/>
        <v>0.60373584905660382</v>
      </c>
      <c r="E88" s="9">
        <f t="shared" si="6"/>
        <v>18.112075471698116</v>
      </c>
      <c r="F88" s="10">
        <v>1000</v>
      </c>
      <c r="G88" s="9">
        <f t="shared" si="7"/>
        <v>-115.85879999999997</v>
      </c>
      <c r="H88" t="s">
        <v>42</v>
      </c>
    </row>
    <row r="89" spans="1:8" x14ac:dyDescent="0.25">
      <c r="A89" s="6" t="s">
        <v>8</v>
      </c>
      <c r="B89" s="7">
        <v>5740.9699499999997</v>
      </c>
      <c r="C89" s="8">
        <v>116267.79</v>
      </c>
      <c r="D89" s="9">
        <f>C89/265</f>
        <v>438.74637735849052</v>
      </c>
      <c r="E89" s="9">
        <f>D89*30</f>
        <v>13162.391320754716</v>
      </c>
      <c r="F89" s="10">
        <v>3500</v>
      </c>
      <c r="G89" s="9">
        <f t="shared" ref="G89:G117" si="8">F89-B89</f>
        <v>-2240.9699499999997</v>
      </c>
      <c r="H89" t="s">
        <v>44</v>
      </c>
    </row>
    <row r="90" spans="1:8" x14ac:dyDescent="0.25">
      <c r="A90" s="6" t="s">
        <v>10</v>
      </c>
      <c r="B90" s="7">
        <v>65695.569759999998</v>
      </c>
      <c r="C90" s="8">
        <v>514090.44</v>
      </c>
      <c r="D90" s="9">
        <f t="shared" ref="D90:D117" si="9">C90/265</f>
        <v>1939.963924528302</v>
      </c>
      <c r="E90" s="9">
        <f t="shared" ref="E90:E117" si="10">D90*30</f>
        <v>58198.917735849056</v>
      </c>
      <c r="F90" s="10">
        <v>32000</v>
      </c>
      <c r="G90" s="9">
        <f t="shared" si="8"/>
        <v>-33695.569759999998</v>
      </c>
      <c r="H90" t="s">
        <v>44</v>
      </c>
    </row>
    <row r="91" spans="1:8" x14ac:dyDescent="0.25">
      <c r="A91" s="6" t="s">
        <v>11</v>
      </c>
      <c r="B91" s="7">
        <v>23358.646886999999</v>
      </c>
      <c r="C91" s="8">
        <v>955117.08360000001</v>
      </c>
      <c r="D91" s="9">
        <f t="shared" si="9"/>
        <v>3604.215409811321</v>
      </c>
      <c r="E91" s="9">
        <f t="shared" si="10"/>
        <v>108126.46229433962</v>
      </c>
      <c r="F91" s="10">
        <v>15000</v>
      </c>
      <c r="G91" s="9">
        <f t="shared" si="8"/>
        <v>-8358.646886999999</v>
      </c>
      <c r="H91" t="s">
        <v>44</v>
      </c>
    </row>
    <row r="92" spans="1:8" x14ac:dyDescent="0.25">
      <c r="A92" s="6" t="s">
        <v>12</v>
      </c>
      <c r="B92" s="7">
        <v>16550.099300000002</v>
      </c>
      <c r="C92" s="8">
        <v>569489.51</v>
      </c>
      <c r="D92" s="9">
        <f t="shared" si="9"/>
        <v>2149.0170188679244</v>
      </c>
      <c r="E92" s="9">
        <f t="shared" si="10"/>
        <v>64470.51056603773</v>
      </c>
      <c r="F92" s="10">
        <v>12000</v>
      </c>
      <c r="G92" s="9">
        <f t="shared" si="8"/>
        <v>-4550.0993000000017</v>
      </c>
      <c r="H92" t="s">
        <v>44</v>
      </c>
    </row>
    <row r="93" spans="1:8" x14ac:dyDescent="0.25">
      <c r="A93" s="6" t="s">
        <v>13</v>
      </c>
      <c r="B93" s="7">
        <v>387418.44900000002</v>
      </c>
      <c r="C93" s="8">
        <v>370143.42</v>
      </c>
      <c r="D93" s="9">
        <f t="shared" si="9"/>
        <v>1396.7676226415094</v>
      </c>
      <c r="E93" s="9">
        <f t="shared" si="10"/>
        <v>41903.028679245283</v>
      </c>
      <c r="F93" s="10">
        <v>120000</v>
      </c>
      <c r="G93" s="9">
        <f t="shared" si="8"/>
        <v>-267418.44900000002</v>
      </c>
      <c r="H93" t="s">
        <v>44</v>
      </c>
    </row>
    <row r="94" spans="1:8" x14ac:dyDescent="0.25">
      <c r="A94" s="6" t="s">
        <v>14</v>
      </c>
      <c r="B94" s="7">
        <v>5642.4097039999997</v>
      </c>
      <c r="C94" s="8">
        <v>404204.09499999997</v>
      </c>
      <c r="D94" s="9">
        <f t="shared" si="9"/>
        <v>1525.2984716981132</v>
      </c>
      <c r="E94" s="9">
        <f t="shared" si="10"/>
        <v>45758.954150943398</v>
      </c>
      <c r="F94" s="10">
        <v>3500</v>
      </c>
      <c r="G94" s="9">
        <f t="shared" si="8"/>
        <v>-2142.4097039999997</v>
      </c>
      <c r="H94" t="s">
        <v>44</v>
      </c>
    </row>
    <row r="95" spans="1:8" x14ac:dyDescent="0.25">
      <c r="A95" s="6" t="s">
        <v>15</v>
      </c>
      <c r="B95" s="7">
        <v>641749.69012499996</v>
      </c>
      <c r="C95" s="8">
        <v>2832323.125</v>
      </c>
      <c r="D95" s="9">
        <f t="shared" si="9"/>
        <v>10688.011792452829</v>
      </c>
      <c r="E95" s="9">
        <f t="shared" si="10"/>
        <v>320640.35377358488</v>
      </c>
      <c r="F95" s="10">
        <v>330000</v>
      </c>
      <c r="G95" s="9">
        <f t="shared" si="8"/>
        <v>-311749.69012499996</v>
      </c>
      <c r="H95" t="s">
        <v>44</v>
      </c>
    </row>
    <row r="96" spans="1:8" x14ac:dyDescent="0.25">
      <c r="A96" s="6" t="s">
        <v>16</v>
      </c>
      <c r="B96" s="7">
        <v>485192.87160000001</v>
      </c>
      <c r="C96" s="8">
        <v>1090094.3700000001</v>
      </c>
      <c r="D96" s="9">
        <f t="shared" si="9"/>
        <v>4113.5636603773592</v>
      </c>
      <c r="E96" s="9">
        <f t="shared" si="10"/>
        <v>123406.90981132077</v>
      </c>
      <c r="F96" s="10">
        <v>190000</v>
      </c>
      <c r="G96" s="9">
        <f t="shared" si="8"/>
        <v>-295192.87160000001</v>
      </c>
      <c r="H96" t="s">
        <v>44</v>
      </c>
    </row>
    <row r="97" spans="1:8" x14ac:dyDescent="0.25">
      <c r="A97" s="6" t="s">
        <v>17</v>
      </c>
      <c r="B97" s="7">
        <v>252453.04135000001</v>
      </c>
      <c r="C97" s="8">
        <v>448584.63</v>
      </c>
      <c r="D97" s="9">
        <f t="shared" si="9"/>
        <v>1692.7721886792453</v>
      </c>
      <c r="E97" s="9">
        <f t="shared" si="10"/>
        <v>50783.165660377359</v>
      </c>
      <c r="F97" s="10">
        <v>110000</v>
      </c>
      <c r="G97" s="9">
        <f t="shared" si="8"/>
        <v>-142453.04135000001</v>
      </c>
      <c r="H97" t="s">
        <v>44</v>
      </c>
    </row>
    <row r="98" spans="1:8" x14ac:dyDescent="0.25">
      <c r="A98" s="6" t="s">
        <v>18</v>
      </c>
      <c r="B98" s="7">
        <v>53172.099755000003</v>
      </c>
      <c r="C98" s="8">
        <v>172839.39</v>
      </c>
      <c r="D98" s="9">
        <f t="shared" si="9"/>
        <v>652.22411320754725</v>
      </c>
      <c r="E98" s="9">
        <f t="shared" si="10"/>
        <v>19566.723396226418</v>
      </c>
      <c r="F98" s="10">
        <v>30000</v>
      </c>
      <c r="G98" s="9">
        <f t="shared" si="8"/>
        <v>-23172.099755000003</v>
      </c>
      <c r="H98" t="s">
        <v>44</v>
      </c>
    </row>
    <row r="99" spans="1:8" x14ac:dyDescent="0.25">
      <c r="A99" s="6" t="s">
        <v>19</v>
      </c>
      <c r="B99" s="7">
        <v>11835.446211</v>
      </c>
      <c r="C99" s="8">
        <v>2179133.4060999998</v>
      </c>
      <c r="D99" s="9">
        <f t="shared" si="9"/>
        <v>8223.1449286792449</v>
      </c>
      <c r="E99" s="9">
        <f t="shared" si="10"/>
        <v>246694.34786037734</v>
      </c>
      <c r="F99" s="10">
        <v>12000</v>
      </c>
      <c r="G99" s="9">
        <f t="shared" si="8"/>
        <v>164.5537889999996</v>
      </c>
      <c r="H99" t="s">
        <v>44</v>
      </c>
    </row>
    <row r="100" spans="1:8" x14ac:dyDescent="0.25">
      <c r="A100" s="6" t="s">
        <v>20</v>
      </c>
      <c r="B100" s="7">
        <v>585606.59025000001</v>
      </c>
      <c r="C100" s="8">
        <v>1300536.8</v>
      </c>
      <c r="D100" s="9">
        <f t="shared" si="9"/>
        <v>4907.6860377358489</v>
      </c>
      <c r="E100" s="9">
        <f t="shared" si="10"/>
        <v>147230.58113207546</v>
      </c>
      <c r="F100" s="10">
        <v>300000</v>
      </c>
      <c r="G100" s="9">
        <f t="shared" si="8"/>
        <v>-285606.59025000001</v>
      </c>
      <c r="H100" t="s">
        <v>44</v>
      </c>
    </row>
    <row r="101" spans="1:8" x14ac:dyDescent="0.25">
      <c r="A101" s="6" t="s">
        <v>21</v>
      </c>
      <c r="B101" s="7">
        <v>304208.61949999997</v>
      </c>
      <c r="C101" s="8">
        <v>696438.12</v>
      </c>
      <c r="D101" s="9">
        <f t="shared" si="9"/>
        <v>2628.0683773584906</v>
      </c>
      <c r="E101" s="9">
        <f t="shared" si="10"/>
        <v>78842.051320754719</v>
      </c>
      <c r="F101" s="10">
        <v>200000</v>
      </c>
      <c r="G101" s="9">
        <f t="shared" si="8"/>
        <v>-104208.61949999997</v>
      </c>
      <c r="H101" t="s">
        <v>44</v>
      </c>
    </row>
    <row r="102" spans="1:8" x14ac:dyDescent="0.25">
      <c r="A102" s="6" t="s">
        <v>22</v>
      </c>
      <c r="B102" s="7">
        <v>184665.02179999999</v>
      </c>
      <c r="C102" s="8">
        <v>604898.62</v>
      </c>
      <c r="D102" s="9">
        <f t="shared" si="9"/>
        <v>2282.6363018867924</v>
      </c>
      <c r="E102" s="9">
        <f t="shared" si="10"/>
        <v>68479.089056603771</v>
      </c>
      <c r="F102" s="10">
        <v>100000</v>
      </c>
      <c r="G102" s="9">
        <f t="shared" si="8"/>
        <v>-84665.021799999988</v>
      </c>
      <c r="H102" t="s">
        <v>44</v>
      </c>
    </row>
    <row r="103" spans="1:8" x14ac:dyDescent="0.25">
      <c r="A103" s="6" t="s">
        <v>23</v>
      </c>
      <c r="B103" s="7">
        <v>361309.39068999997</v>
      </c>
      <c r="C103" s="8">
        <v>553588.37</v>
      </c>
      <c r="D103" s="9">
        <f t="shared" si="9"/>
        <v>2089.0127169811321</v>
      </c>
      <c r="E103" s="9">
        <f t="shared" si="10"/>
        <v>62670.381509433966</v>
      </c>
      <c r="F103" s="10">
        <v>100000</v>
      </c>
      <c r="G103" s="9">
        <f t="shared" si="8"/>
        <v>-261309.39068999997</v>
      </c>
      <c r="H103" t="s">
        <v>44</v>
      </c>
    </row>
    <row r="104" spans="1:8" x14ac:dyDescent="0.25">
      <c r="A104" s="6" t="s">
        <v>24</v>
      </c>
      <c r="B104" s="7">
        <v>24.4833</v>
      </c>
      <c r="C104" s="8">
        <v>30</v>
      </c>
      <c r="D104" s="9">
        <f t="shared" si="9"/>
        <v>0.11320754716981132</v>
      </c>
      <c r="E104" s="9">
        <f t="shared" si="10"/>
        <v>3.3962264150943398</v>
      </c>
      <c r="F104" s="10">
        <v>0</v>
      </c>
      <c r="G104" s="9">
        <f t="shared" si="8"/>
        <v>-24.4833</v>
      </c>
      <c r="H104" t="s">
        <v>44</v>
      </c>
    </row>
    <row r="105" spans="1:8" x14ac:dyDescent="0.25">
      <c r="A105" s="6" t="s">
        <v>25</v>
      </c>
      <c r="B105" s="7">
        <v>8162.7695999999996</v>
      </c>
      <c r="C105" s="8">
        <v>4798.13</v>
      </c>
      <c r="D105" s="9">
        <f t="shared" si="9"/>
        <v>18.106150943396226</v>
      </c>
      <c r="E105" s="9">
        <f t="shared" si="10"/>
        <v>543.18452830188676</v>
      </c>
      <c r="F105" s="10">
        <v>0</v>
      </c>
      <c r="G105" s="9">
        <f t="shared" si="8"/>
        <v>-8162.7695999999996</v>
      </c>
      <c r="H105" t="s">
        <v>44</v>
      </c>
    </row>
    <row r="106" spans="1:8" x14ac:dyDescent="0.25">
      <c r="A106" s="6" t="s">
        <v>26</v>
      </c>
      <c r="B106" s="7">
        <v>34845.190600000002</v>
      </c>
      <c r="C106" s="8">
        <v>75990.23</v>
      </c>
      <c r="D106" s="9">
        <f t="shared" si="9"/>
        <v>286.75558490566038</v>
      </c>
      <c r="E106" s="9">
        <f t="shared" si="10"/>
        <v>8602.6675471698109</v>
      </c>
      <c r="F106" s="10">
        <v>15000</v>
      </c>
      <c r="G106" s="9">
        <f t="shared" si="8"/>
        <v>-19845.190600000002</v>
      </c>
      <c r="H106" t="s">
        <v>44</v>
      </c>
    </row>
    <row r="107" spans="1:8" x14ac:dyDescent="0.25">
      <c r="A107" s="6" t="s">
        <v>27</v>
      </c>
      <c r="B107" s="7">
        <v>81814.272599999997</v>
      </c>
      <c r="C107" s="8">
        <v>227242.12</v>
      </c>
      <c r="D107" s="9">
        <f t="shared" si="9"/>
        <v>857.51743396226414</v>
      </c>
      <c r="E107" s="9">
        <f t="shared" si="10"/>
        <v>25725.523018867923</v>
      </c>
      <c r="F107" s="10">
        <v>25000</v>
      </c>
      <c r="G107" s="9">
        <f t="shared" si="8"/>
        <v>-56814.272599999997</v>
      </c>
      <c r="H107" t="s">
        <v>44</v>
      </c>
    </row>
    <row r="108" spans="1:8" x14ac:dyDescent="0.25">
      <c r="A108" s="6" t="s">
        <v>28</v>
      </c>
      <c r="B108" s="7">
        <v>26400.039799999999</v>
      </c>
      <c r="C108" s="8">
        <v>122246.81</v>
      </c>
      <c r="D108" s="9">
        <f t="shared" si="9"/>
        <v>461.30871698113208</v>
      </c>
      <c r="E108" s="9">
        <f t="shared" si="10"/>
        <v>13839.261509433962</v>
      </c>
      <c r="F108" s="10">
        <v>15000</v>
      </c>
      <c r="G108" s="9">
        <f t="shared" si="8"/>
        <v>-11400.039799999999</v>
      </c>
      <c r="H108" t="s">
        <v>44</v>
      </c>
    </row>
    <row r="109" spans="1:8" x14ac:dyDescent="0.25">
      <c r="A109" s="6" t="s">
        <v>29</v>
      </c>
      <c r="B109" s="7">
        <v>257653.97779999999</v>
      </c>
      <c r="C109" s="8">
        <v>700738.64</v>
      </c>
      <c r="D109" s="9">
        <f t="shared" si="9"/>
        <v>2644.296754716981</v>
      </c>
      <c r="E109" s="9">
        <f t="shared" si="10"/>
        <v>79328.902641509427</v>
      </c>
      <c r="F109" s="10">
        <v>80000</v>
      </c>
      <c r="G109" s="9">
        <f t="shared" si="8"/>
        <v>-177653.97779999999</v>
      </c>
      <c r="H109" t="s">
        <v>44</v>
      </c>
    </row>
    <row r="110" spans="1:8" x14ac:dyDescent="0.25">
      <c r="A110" s="6" t="s">
        <v>30</v>
      </c>
      <c r="B110" s="7">
        <v>99416.708622000006</v>
      </c>
      <c r="C110" s="8">
        <v>1308558.8683</v>
      </c>
      <c r="D110" s="9">
        <f t="shared" si="9"/>
        <v>4937.9579935849051</v>
      </c>
      <c r="E110" s="9">
        <f t="shared" si="10"/>
        <v>148138.73980754716</v>
      </c>
      <c r="F110" s="10">
        <v>50000</v>
      </c>
      <c r="G110" s="9">
        <f t="shared" si="8"/>
        <v>-49416.708622000006</v>
      </c>
      <c r="H110" t="s">
        <v>44</v>
      </c>
    </row>
    <row r="111" spans="1:8" x14ac:dyDescent="0.25">
      <c r="A111" s="6" t="s">
        <v>31</v>
      </c>
      <c r="B111" s="7">
        <v>5522.3504000000003</v>
      </c>
      <c r="C111" s="8">
        <v>128343.23</v>
      </c>
      <c r="D111" s="9">
        <f t="shared" si="9"/>
        <v>484.31407547169812</v>
      </c>
      <c r="E111" s="9">
        <f t="shared" si="10"/>
        <v>14529.422264150944</v>
      </c>
      <c r="F111" s="10">
        <v>5000</v>
      </c>
      <c r="G111" s="9">
        <f t="shared" si="8"/>
        <v>-522.35040000000026</v>
      </c>
      <c r="H111" t="s">
        <v>44</v>
      </c>
    </row>
    <row r="112" spans="1:8" x14ac:dyDescent="0.25">
      <c r="A112" s="6" t="s">
        <v>32</v>
      </c>
      <c r="B112" s="7">
        <v>63900.017800000001</v>
      </c>
      <c r="C112" s="8">
        <v>70465.11</v>
      </c>
      <c r="D112" s="9">
        <f t="shared" si="9"/>
        <v>265.9060754716981</v>
      </c>
      <c r="E112" s="9">
        <f t="shared" si="10"/>
        <v>7977.1822641509434</v>
      </c>
      <c r="F112" s="10">
        <v>18000</v>
      </c>
      <c r="G112" s="9">
        <f t="shared" si="8"/>
        <v>-45900.017800000001</v>
      </c>
      <c r="H112" t="s">
        <v>44</v>
      </c>
    </row>
    <row r="113" spans="1:8" x14ac:dyDescent="0.25">
      <c r="A113" s="6" t="s">
        <v>33</v>
      </c>
      <c r="B113" s="7">
        <v>3425.0666999999999</v>
      </c>
      <c r="C113" s="8">
        <v>676491.99</v>
      </c>
      <c r="D113" s="9">
        <f t="shared" si="9"/>
        <v>2552.799962264151</v>
      </c>
      <c r="E113" s="9">
        <f t="shared" si="10"/>
        <v>76583.998867924529</v>
      </c>
      <c r="F113" s="10">
        <v>3500</v>
      </c>
      <c r="G113" s="9">
        <f t="shared" si="8"/>
        <v>74.933300000000145</v>
      </c>
      <c r="H113" t="s">
        <v>44</v>
      </c>
    </row>
    <row r="114" spans="1:8" x14ac:dyDescent="0.25">
      <c r="A114" s="6" t="s">
        <v>34</v>
      </c>
      <c r="B114" s="7">
        <v>30744.703986</v>
      </c>
      <c r="C114" s="8">
        <v>83300.84</v>
      </c>
      <c r="D114" s="9">
        <f t="shared" si="9"/>
        <v>314.34279245283017</v>
      </c>
      <c r="E114" s="9">
        <f t="shared" si="10"/>
        <v>9430.2837735849043</v>
      </c>
      <c r="F114" s="10">
        <v>30000</v>
      </c>
      <c r="G114" s="9">
        <f t="shared" si="8"/>
        <v>-744.70398600000044</v>
      </c>
      <c r="H114" t="s">
        <v>44</v>
      </c>
    </row>
    <row r="115" spans="1:8" x14ac:dyDescent="0.25">
      <c r="A115" s="6" t="s">
        <v>35</v>
      </c>
      <c r="B115" s="7">
        <v>26035.0939</v>
      </c>
      <c r="C115" s="8">
        <v>105281.86</v>
      </c>
      <c r="D115" s="9">
        <f t="shared" si="9"/>
        <v>397.29003773584907</v>
      </c>
      <c r="E115" s="9">
        <f t="shared" si="10"/>
        <v>11918.701132075472</v>
      </c>
      <c r="F115" s="10">
        <v>10000</v>
      </c>
      <c r="G115" s="9">
        <f t="shared" si="8"/>
        <v>-16035.0939</v>
      </c>
      <c r="H115" t="s">
        <v>44</v>
      </c>
    </row>
    <row r="116" spans="1:8" x14ac:dyDescent="0.25">
      <c r="A116" s="6" t="s">
        <v>36</v>
      </c>
      <c r="B116" s="7">
        <v>54770.948700000001</v>
      </c>
      <c r="C116" s="8">
        <v>89527.71</v>
      </c>
      <c r="D116" s="9">
        <f t="shared" si="9"/>
        <v>337.84041509433962</v>
      </c>
      <c r="E116" s="9">
        <f t="shared" si="10"/>
        <v>10135.212452830188</v>
      </c>
      <c r="F116" s="10">
        <v>25000</v>
      </c>
      <c r="G116" s="9">
        <f t="shared" si="8"/>
        <v>-29770.948700000001</v>
      </c>
      <c r="H116" t="s">
        <v>44</v>
      </c>
    </row>
    <row r="117" spans="1:8" x14ac:dyDescent="0.25">
      <c r="A117" s="6" t="s">
        <v>37</v>
      </c>
      <c r="B117" s="7">
        <v>99050.586800000005</v>
      </c>
      <c r="C117" s="8">
        <v>196237.62</v>
      </c>
      <c r="D117" s="9">
        <f t="shared" si="9"/>
        <v>740.519320754717</v>
      </c>
      <c r="E117" s="9">
        <f t="shared" si="10"/>
        <v>22215.579622641511</v>
      </c>
      <c r="F117" s="10">
        <v>65000</v>
      </c>
      <c r="G117" s="9">
        <f t="shared" si="8"/>
        <v>-34050.586800000005</v>
      </c>
      <c r="H117" t="s">
        <v>44</v>
      </c>
    </row>
    <row r="118" spans="1:8" x14ac:dyDescent="0.25">
      <c r="A118" s="6" t="s">
        <v>8</v>
      </c>
      <c r="B118" s="7">
        <v>11576.9661</v>
      </c>
      <c r="C118" s="8">
        <v>394595.70069999999</v>
      </c>
      <c r="D118" s="9">
        <f>C118/265</f>
        <v>1489.0403799999999</v>
      </c>
      <c r="E118" s="9">
        <f>D118*30</f>
        <v>44671.2114</v>
      </c>
      <c r="F118" s="10">
        <v>10000</v>
      </c>
      <c r="G118" s="9">
        <f>F118-B118</f>
        <v>-1576.9660999999996</v>
      </c>
      <c r="H118" t="s">
        <v>45</v>
      </c>
    </row>
    <row r="119" spans="1:8" x14ac:dyDescent="0.25">
      <c r="A119" s="6" t="s">
        <v>10</v>
      </c>
      <c r="B119" s="7">
        <v>95117.967300000004</v>
      </c>
      <c r="C119" s="8">
        <v>1060804.32</v>
      </c>
      <c r="D119" s="9">
        <f t="shared" ref="D119:D182" si="11">C119/265</f>
        <v>4003.0351698113209</v>
      </c>
      <c r="E119" s="9">
        <f t="shared" ref="E119:E145" si="12">D119*30</f>
        <v>120091.05509433962</v>
      </c>
      <c r="F119" s="10">
        <v>60000</v>
      </c>
      <c r="G119" s="9">
        <f t="shared" ref="G119:G182" si="13">F119-B119</f>
        <v>-35117.967300000004</v>
      </c>
      <c r="H119" t="s">
        <v>45</v>
      </c>
    </row>
    <row r="120" spans="1:8" x14ac:dyDescent="0.25">
      <c r="A120" s="6" t="s">
        <v>11</v>
      </c>
      <c r="B120" s="7">
        <v>29976.531447000001</v>
      </c>
      <c r="C120" s="8">
        <v>1701680.936</v>
      </c>
      <c r="D120" s="9">
        <f t="shared" si="11"/>
        <v>6421.4374943396224</v>
      </c>
      <c r="E120" s="9">
        <f t="shared" si="12"/>
        <v>192643.12483018867</v>
      </c>
      <c r="F120" s="10">
        <v>20000</v>
      </c>
      <c r="G120" s="9">
        <f t="shared" si="13"/>
        <v>-9976.5314470000012</v>
      </c>
      <c r="H120" t="s">
        <v>45</v>
      </c>
    </row>
    <row r="121" spans="1:8" x14ac:dyDescent="0.25">
      <c r="A121" s="6" t="s">
        <v>12</v>
      </c>
      <c r="B121" s="7">
        <v>27260.115900000001</v>
      </c>
      <c r="C121" s="8">
        <v>1567269.17</v>
      </c>
      <c r="D121" s="9">
        <f t="shared" si="11"/>
        <v>5914.2232830188677</v>
      </c>
      <c r="E121" s="9">
        <f t="shared" si="12"/>
        <v>177426.69849056602</v>
      </c>
      <c r="F121" s="10">
        <v>25000</v>
      </c>
      <c r="G121" s="9">
        <f t="shared" si="13"/>
        <v>-2260.1159000000007</v>
      </c>
      <c r="H121" t="s">
        <v>45</v>
      </c>
    </row>
    <row r="122" spans="1:8" x14ac:dyDescent="0.25">
      <c r="A122" s="6" t="s">
        <v>13</v>
      </c>
      <c r="B122" s="7">
        <v>560472.84950000001</v>
      </c>
      <c r="C122" s="8">
        <v>1309745.92</v>
      </c>
      <c r="D122" s="9">
        <f t="shared" si="11"/>
        <v>4942.4374339622636</v>
      </c>
      <c r="E122" s="9">
        <f t="shared" si="12"/>
        <v>148273.12301886792</v>
      </c>
      <c r="F122" s="10">
        <v>300000</v>
      </c>
      <c r="G122" s="9">
        <f t="shared" si="13"/>
        <v>-260472.84950000001</v>
      </c>
      <c r="H122" t="s">
        <v>45</v>
      </c>
    </row>
    <row r="123" spans="1:8" x14ac:dyDescent="0.25">
      <c r="A123" s="6" t="s">
        <v>14</v>
      </c>
      <c r="B123" s="7">
        <v>4699.6646579999997</v>
      </c>
      <c r="C123" s="8">
        <v>505945.1826</v>
      </c>
      <c r="D123" s="9">
        <f t="shared" si="11"/>
        <v>1909.2271041509434</v>
      </c>
      <c r="E123" s="9">
        <f t="shared" si="12"/>
        <v>57276.8131245283</v>
      </c>
      <c r="F123" s="10">
        <v>4000</v>
      </c>
      <c r="G123" s="9">
        <f t="shared" si="13"/>
        <v>-699.66465799999969</v>
      </c>
      <c r="H123" t="s">
        <v>45</v>
      </c>
    </row>
    <row r="124" spans="1:8" x14ac:dyDescent="0.25">
      <c r="A124" s="6" t="s">
        <v>15</v>
      </c>
      <c r="B124" s="7">
        <v>1057311.5555090001</v>
      </c>
      <c r="C124" s="8">
        <v>8308775.8399999999</v>
      </c>
      <c r="D124" s="9">
        <f t="shared" si="11"/>
        <v>31353.871094339622</v>
      </c>
      <c r="E124" s="9">
        <f t="shared" si="12"/>
        <v>940616.13283018861</v>
      </c>
      <c r="F124" s="10">
        <v>870000</v>
      </c>
      <c r="G124" s="9">
        <f t="shared" si="13"/>
        <v>-187311.55550900009</v>
      </c>
      <c r="H124" t="s">
        <v>45</v>
      </c>
    </row>
    <row r="125" spans="1:8" x14ac:dyDescent="0.25">
      <c r="A125" s="6" t="s">
        <v>16</v>
      </c>
      <c r="B125" s="7">
        <v>955668.08810000005</v>
      </c>
      <c r="C125" s="8">
        <v>3624374.69</v>
      </c>
      <c r="D125" s="9">
        <f t="shared" si="11"/>
        <v>13676.88562264151</v>
      </c>
      <c r="E125" s="9">
        <f t="shared" si="12"/>
        <v>410306.56867924531</v>
      </c>
      <c r="F125" s="10">
        <v>580000</v>
      </c>
      <c r="G125" s="9">
        <f t="shared" si="13"/>
        <v>-375668.08810000005</v>
      </c>
      <c r="H125" t="s">
        <v>45</v>
      </c>
    </row>
    <row r="126" spans="1:8" x14ac:dyDescent="0.25">
      <c r="A126" s="6" t="s">
        <v>17</v>
      </c>
      <c r="B126" s="7">
        <v>294809.2954</v>
      </c>
      <c r="C126" s="8">
        <v>1232116.97</v>
      </c>
      <c r="D126" s="9">
        <f t="shared" si="11"/>
        <v>4649.4979999999996</v>
      </c>
      <c r="E126" s="9">
        <f t="shared" si="12"/>
        <v>139484.94</v>
      </c>
      <c r="F126" s="10">
        <v>260000</v>
      </c>
      <c r="G126" s="9">
        <f t="shared" si="13"/>
        <v>-34809.295400000003</v>
      </c>
      <c r="H126" t="s">
        <v>45</v>
      </c>
    </row>
    <row r="127" spans="1:8" x14ac:dyDescent="0.25">
      <c r="A127" s="6" t="s">
        <v>18</v>
      </c>
      <c r="B127" s="7">
        <v>101320.57831500001</v>
      </c>
      <c r="C127" s="8">
        <v>861511.10250000004</v>
      </c>
      <c r="D127" s="9">
        <f t="shared" si="11"/>
        <v>3250.9852924528304</v>
      </c>
      <c r="E127" s="9">
        <f t="shared" si="12"/>
        <v>97529.558773584911</v>
      </c>
      <c r="F127" s="10">
        <v>90000</v>
      </c>
      <c r="G127" s="9">
        <f t="shared" si="13"/>
        <v>-11320.578315000006</v>
      </c>
      <c r="H127" t="s">
        <v>45</v>
      </c>
    </row>
    <row r="128" spans="1:8" x14ac:dyDescent="0.25">
      <c r="A128" s="6" t="s">
        <v>19</v>
      </c>
      <c r="B128" s="7">
        <v>37398.898621</v>
      </c>
      <c r="C128" s="8">
        <v>5574342.7473999998</v>
      </c>
      <c r="D128" s="9">
        <f t="shared" si="11"/>
        <v>21035.255650566036</v>
      </c>
      <c r="E128" s="9">
        <f t="shared" si="12"/>
        <v>631057.66951698111</v>
      </c>
      <c r="F128" s="10">
        <v>40000</v>
      </c>
      <c r="G128" s="9">
        <f t="shared" si="13"/>
        <v>2601.1013789999997</v>
      </c>
      <c r="H128" t="s">
        <v>45</v>
      </c>
    </row>
    <row r="129" spans="1:8" x14ac:dyDescent="0.25">
      <c r="A129" s="6" t="s">
        <v>20</v>
      </c>
      <c r="B129" s="7">
        <v>968724.10959999997</v>
      </c>
      <c r="C129" s="8">
        <v>4017802</v>
      </c>
      <c r="D129" s="9">
        <f t="shared" si="11"/>
        <v>15161.516981132076</v>
      </c>
      <c r="E129" s="9">
        <f t="shared" si="12"/>
        <v>454845.50943396229</v>
      </c>
      <c r="F129" s="10">
        <v>845853.05263157887</v>
      </c>
      <c r="G129" s="9">
        <f t="shared" si="13"/>
        <v>-122871.05696842109</v>
      </c>
      <c r="H129" t="s">
        <v>45</v>
      </c>
    </row>
    <row r="130" spans="1:8" x14ac:dyDescent="0.25">
      <c r="A130" s="6" t="s">
        <v>21</v>
      </c>
      <c r="B130" s="7">
        <v>608781.87520000001</v>
      </c>
      <c r="C130" s="8">
        <v>1250071.48</v>
      </c>
      <c r="D130" s="9">
        <f t="shared" si="11"/>
        <v>4717.2508679245284</v>
      </c>
      <c r="E130" s="9">
        <f t="shared" si="12"/>
        <v>141517.52603773586</v>
      </c>
      <c r="F130" s="10">
        <v>350000</v>
      </c>
      <c r="G130" s="9">
        <f t="shared" si="13"/>
        <v>-258781.87520000001</v>
      </c>
      <c r="H130" t="s">
        <v>45</v>
      </c>
    </row>
    <row r="131" spans="1:8" x14ac:dyDescent="0.25">
      <c r="A131" s="6" t="s">
        <v>22</v>
      </c>
      <c r="B131" s="7">
        <v>234560.48689999999</v>
      </c>
      <c r="C131" s="8">
        <v>1311795.67</v>
      </c>
      <c r="D131" s="9">
        <f t="shared" si="11"/>
        <v>4950.1723396226416</v>
      </c>
      <c r="E131" s="9">
        <f t="shared" si="12"/>
        <v>148505.17018867924</v>
      </c>
      <c r="F131" s="10">
        <v>200000</v>
      </c>
      <c r="G131" s="9">
        <f t="shared" si="13"/>
        <v>-34560.486899999989</v>
      </c>
      <c r="H131" t="s">
        <v>45</v>
      </c>
    </row>
    <row r="132" spans="1:8" x14ac:dyDescent="0.25">
      <c r="A132" s="6" t="s">
        <v>23</v>
      </c>
      <c r="B132" s="7">
        <v>320268.50170000002</v>
      </c>
      <c r="C132" s="8">
        <v>1447167.77</v>
      </c>
      <c r="D132" s="9">
        <f t="shared" si="11"/>
        <v>5461.010452830189</v>
      </c>
      <c r="E132" s="9">
        <f t="shared" si="12"/>
        <v>163830.31358490567</v>
      </c>
      <c r="F132" s="10">
        <v>230000</v>
      </c>
      <c r="G132" s="9">
        <f t="shared" si="13"/>
        <v>-90268.501700000023</v>
      </c>
      <c r="H132" t="s">
        <v>45</v>
      </c>
    </row>
    <row r="133" spans="1:8" x14ac:dyDescent="0.25">
      <c r="A133" s="6" t="s">
        <v>25</v>
      </c>
      <c r="B133" s="7">
        <v>4775.7737999999999</v>
      </c>
      <c r="C133" s="8">
        <v>465.82</v>
      </c>
      <c r="D133" s="9">
        <f t="shared" si="11"/>
        <v>1.757811320754717</v>
      </c>
      <c r="E133" s="9">
        <f t="shared" si="12"/>
        <v>52.734339622641514</v>
      </c>
      <c r="F133" s="10">
        <v>0</v>
      </c>
      <c r="G133" s="9">
        <f t="shared" si="13"/>
        <v>-4775.7737999999999</v>
      </c>
      <c r="H133" t="s">
        <v>45</v>
      </c>
    </row>
    <row r="134" spans="1:8" x14ac:dyDescent="0.25">
      <c r="A134" s="6" t="s">
        <v>26</v>
      </c>
      <c r="B134" s="7">
        <v>90089.360499999995</v>
      </c>
      <c r="C134" s="8">
        <v>435644.87</v>
      </c>
      <c r="D134" s="9">
        <f t="shared" si="11"/>
        <v>1643.9429056603774</v>
      </c>
      <c r="E134" s="9">
        <f t="shared" si="12"/>
        <v>49318.287169811323</v>
      </c>
      <c r="F134" s="10">
        <v>70000</v>
      </c>
      <c r="G134" s="9">
        <f t="shared" si="13"/>
        <v>-20089.360499999995</v>
      </c>
      <c r="H134" t="s">
        <v>45</v>
      </c>
    </row>
    <row r="135" spans="1:8" x14ac:dyDescent="0.25">
      <c r="A135" s="6" t="s">
        <v>27</v>
      </c>
      <c r="B135" s="7">
        <v>57724.696100000001</v>
      </c>
      <c r="C135" s="8">
        <v>715062.16</v>
      </c>
      <c r="D135" s="9">
        <f t="shared" si="11"/>
        <v>2698.347773584906</v>
      </c>
      <c r="E135" s="9">
        <f t="shared" si="12"/>
        <v>80950.433207547176</v>
      </c>
      <c r="F135" s="10">
        <v>60000</v>
      </c>
      <c r="G135" s="9">
        <f t="shared" si="13"/>
        <v>2275.303899999999</v>
      </c>
      <c r="H135" t="s">
        <v>45</v>
      </c>
    </row>
    <row r="136" spans="1:8" x14ac:dyDescent="0.25">
      <c r="A136" s="6" t="s">
        <v>28</v>
      </c>
      <c r="B136" s="7">
        <v>56899.2984</v>
      </c>
      <c r="C136" s="8">
        <v>496453.63</v>
      </c>
      <c r="D136" s="9">
        <f t="shared" si="11"/>
        <v>1873.4099245283019</v>
      </c>
      <c r="E136" s="9">
        <f t="shared" si="12"/>
        <v>56202.297735849053</v>
      </c>
      <c r="F136" s="10">
        <v>50000</v>
      </c>
      <c r="G136" s="9">
        <f t="shared" si="13"/>
        <v>-6899.2983999999997</v>
      </c>
      <c r="H136" t="s">
        <v>45</v>
      </c>
    </row>
    <row r="137" spans="1:8" x14ac:dyDescent="0.25">
      <c r="A137" s="6" t="s">
        <v>29</v>
      </c>
      <c r="B137" s="7">
        <v>32680.901399999999</v>
      </c>
      <c r="C137" s="8">
        <v>980.04</v>
      </c>
      <c r="D137" s="9">
        <f t="shared" si="11"/>
        <v>3.698264150943396</v>
      </c>
      <c r="E137" s="9">
        <f t="shared" si="12"/>
        <v>110.94792452830188</v>
      </c>
      <c r="F137" s="10">
        <v>10000</v>
      </c>
      <c r="G137" s="9">
        <f t="shared" si="13"/>
        <v>-22680.901399999999</v>
      </c>
      <c r="H137" t="s">
        <v>45</v>
      </c>
    </row>
    <row r="138" spans="1:8" x14ac:dyDescent="0.25">
      <c r="A138" s="6" t="s">
        <v>30</v>
      </c>
      <c r="B138" s="7">
        <v>143496.26739200001</v>
      </c>
      <c r="C138" s="8">
        <v>3458577.8525</v>
      </c>
      <c r="D138" s="9">
        <f t="shared" si="11"/>
        <v>13051.237179245283</v>
      </c>
      <c r="E138" s="9">
        <f t="shared" si="12"/>
        <v>391537.11537735851</v>
      </c>
      <c r="F138" s="10">
        <v>120000</v>
      </c>
      <c r="G138" s="9">
        <f t="shared" si="13"/>
        <v>-23496.267392000009</v>
      </c>
      <c r="H138" t="s">
        <v>45</v>
      </c>
    </row>
    <row r="139" spans="1:8" x14ac:dyDescent="0.25">
      <c r="A139" s="6" t="s">
        <v>31</v>
      </c>
      <c r="B139" s="7">
        <v>27943.200400000002</v>
      </c>
      <c r="C139" s="8">
        <v>319550.69</v>
      </c>
      <c r="D139" s="9">
        <f t="shared" si="11"/>
        <v>1205.8516603773585</v>
      </c>
      <c r="E139" s="9">
        <f t="shared" si="12"/>
        <v>36175.549811320758</v>
      </c>
      <c r="F139" s="10">
        <v>15000</v>
      </c>
      <c r="G139" s="9">
        <f t="shared" si="13"/>
        <v>-12943.200400000002</v>
      </c>
      <c r="H139" t="s">
        <v>45</v>
      </c>
    </row>
    <row r="140" spans="1:8" x14ac:dyDescent="0.25">
      <c r="A140" s="6" t="s">
        <v>32</v>
      </c>
      <c r="B140" s="7">
        <v>85429.254799999995</v>
      </c>
      <c r="C140" s="8">
        <v>285225.14</v>
      </c>
      <c r="D140" s="9">
        <f t="shared" si="11"/>
        <v>1076.3212830188679</v>
      </c>
      <c r="E140" s="9">
        <f t="shared" si="12"/>
        <v>32289.638490566038</v>
      </c>
      <c r="F140" s="10">
        <v>60000</v>
      </c>
      <c r="G140" s="9">
        <f t="shared" si="13"/>
        <v>-25429.254799999995</v>
      </c>
      <c r="H140" t="s">
        <v>45</v>
      </c>
    </row>
    <row r="141" spans="1:8" x14ac:dyDescent="0.25">
      <c r="A141" s="6" t="s">
        <v>33</v>
      </c>
      <c r="B141" s="7">
        <v>17596.333999999999</v>
      </c>
      <c r="C141" s="8">
        <v>662565.35</v>
      </c>
      <c r="D141" s="9">
        <f t="shared" si="11"/>
        <v>2500.2466037735849</v>
      </c>
      <c r="E141" s="9">
        <f t="shared" si="12"/>
        <v>75007.398113207542</v>
      </c>
      <c r="F141" s="10">
        <v>16000</v>
      </c>
      <c r="G141" s="9">
        <f t="shared" si="13"/>
        <v>-1596.3339999999989</v>
      </c>
      <c r="H141" t="s">
        <v>45</v>
      </c>
    </row>
    <row r="142" spans="1:8" x14ac:dyDescent="0.25">
      <c r="A142" s="6" t="s">
        <v>34</v>
      </c>
      <c r="B142" s="7">
        <v>81366.537637000001</v>
      </c>
      <c r="C142" s="8">
        <v>141373.20749999999</v>
      </c>
      <c r="D142" s="9">
        <f t="shared" si="11"/>
        <v>533.48380188679243</v>
      </c>
      <c r="E142" s="9">
        <f t="shared" si="12"/>
        <v>16004.514056603773</v>
      </c>
      <c r="F142" s="10">
        <v>50000</v>
      </c>
      <c r="G142" s="9">
        <f t="shared" si="13"/>
        <v>-31366.537637000001</v>
      </c>
      <c r="H142" t="s">
        <v>45</v>
      </c>
    </row>
    <row r="143" spans="1:8" x14ac:dyDescent="0.25">
      <c r="A143" s="6" t="s">
        <v>35</v>
      </c>
      <c r="B143" s="7">
        <v>21141.495900000002</v>
      </c>
      <c r="C143" s="8">
        <v>178454.84</v>
      </c>
      <c r="D143" s="9">
        <f t="shared" si="11"/>
        <v>673.41449056603767</v>
      </c>
      <c r="E143" s="9">
        <f t="shared" si="12"/>
        <v>20202.43471698113</v>
      </c>
      <c r="F143" s="10">
        <v>10000</v>
      </c>
      <c r="G143" s="9">
        <f t="shared" si="13"/>
        <v>-11141.495900000002</v>
      </c>
      <c r="H143" t="s">
        <v>45</v>
      </c>
    </row>
    <row r="144" spans="1:8" x14ac:dyDescent="0.25">
      <c r="A144" s="6" t="s">
        <v>36</v>
      </c>
      <c r="B144" s="7">
        <v>121606.1036</v>
      </c>
      <c r="C144" s="8">
        <v>443106.73</v>
      </c>
      <c r="D144" s="9">
        <f t="shared" si="11"/>
        <v>1672.1008679245283</v>
      </c>
      <c r="E144" s="9">
        <f t="shared" si="12"/>
        <v>50163.02603773585</v>
      </c>
      <c r="F144" s="10">
        <v>100000</v>
      </c>
      <c r="G144" s="9">
        <f t="shared" si="13"/>
        <v>-21606.103600000002</v>
      </c>
      <c r="H144" t="s">
        <v>45</v>
      </c>
    </row>
    <row r="145" spans="1:8" x14ac:dyDescent="0.25">
      <c r="A145" s="6" t="s">
        <v>37</v>
      </c>
      <c r="B145" s="7">
        <v>147184.21710000001</v>
      </c>
      <c r="C145" s="8">
        <v>375171.86</v>
      </c>
      <c r="D145" s="9">
        <f t="shared" si="11"/>
        <v>1415.7428679245284</v>
      </c>
      <c r="E145" s="9">
        <f t="shared" si="12"/>
        <v>42472.286037735852</v>
      </c>
      <c r="F145" s="10">
        <v>120000</v>
      </c>
      <c r="G145" s="9">
        <f t="shared" si="13"/>
        <v>-27184.217100000009</v>
      </c>
      <c r="H145" t="s">
        <v>45</v>
      </c>
    </row>
    <row r="146" spans="1:8" x14ac:dyDescent="0.25">
      <c r="A146" s="6" t="s">
        <v>8</v>
      </c>
      <c r="B146" s="7">
        <v>7479.0690999999997</v>
      </c>
      <c r="C146" s="8">
        <v>294543.71000000002</v>
      </c>
      <c r="D146" s="9">
        <f t="shared" si="11"/>
        <v>1111.4856981132077</v>
      </c>
      <c r="E146" s="9">
        <f>D146*30</f>
        <v>33344.570943396233</v>
      </c>
      <c r="F146" s="10">
        <v>7500</v>
      </c>
      <c r="G146" s="9">
        <f t="shared" si="13"/>
        <v>20.930900000000292</v>
      </c>
      <c r="H146" t="s">
        <v>46</v>
      </c>
    </row>
    <row r="147" spans="1:8" x14ac:dyDescent="0.25">
      <c r="A147" s="6" t="s">
        <v>10</v>
      </c>
      <c r="B147" s="7">
        <v>70703.454199999993</v>
      </c>
      <c r="C147" s="8">
        <v>890493.59</v>
      </c>
      <c r="D147" s="9">
        <f t="shared" si="11"/>
        <v>3360.3531698113206</v>
      </c>
      <c r="E147" s="9">
        <f t="shared" ref="E147:E173" si="14">D147*30</f>
        <v>100810.59509433962</v>
      </c>
      <c r="F147" s="10">
        <v>60000</v>
      </c>
      <c r="G147" s="9">
        <f t="shared" si="13"/>
        <v>-10703.454199999993</v>
      </c>
      <c r="H147" t="s">
        <v>46</v>
      </c>
    </row>
    <row r="148" spans="1:8" x14ac:dyDescent="0.25">
      <c r="A148" s="6" t="s">
        <v>11</v>
      </c>
      <c r="B148" s="7">
        <v>4027.2739419999998</v>
      </c>
      <c r="C148" s="8">
        <v>1239652.1950000001</v>
      </c>
      <c r="D148" s="9">
        <f t="shared" si="11"/>
        <v>4677.9328113207548</v>
      </c>
      <c r="E148" s="9">
        <f t="shared" si="14"/>
        <v>140337.98433962264</v>
      </c>
      <c r="F148" s="10">
        <v>5000</v>
      </c>
      <c r="G148" s="9">
        <f t="shared" si="13"/>
        <v>972.72605800000019</v>
      </c>
      <c r="H148" t="s">
        <v>46</v>
      </c>
    </row>
    <row r="149" spans="1:8" x14ac:dyDescent="0.25">
      <c r="A149" s="6" t="s">
        <v>12</v>
      </c>
      <c r="B149" s="7">
        <v>23018.484903</v>
      </c>
      <c r="C149" s="8">
        <v>1510671.32</v>
      </c>
      <c r="D149" s="9">
        <f t="shared" si="11"/>
        <v>5700.6464905660378</v>
      </c>
      <c r="E149" s="9">
        <f t="shared" si="14"/>
        <v>171019.39471698113</v>
      </c>
      <c r="F149" s="10">
        <v>24000</v>
      </c>
      <c r="G149" s="9">
        <f t="shared" si="13"/>
        <v>981.51509699999951</v>
      </c>
      <c r="H149" t="s">
        <v>46</v>
      </c>
    </row>
    <row r="150" spans="1:8" x14ac:dyDescent="0.25">
      <c r="A150" s="6" t="s">
        <v>13</v>
      </c>
      <c r="B150" s="7">
        <v>191857.18100000001</v>
      </c>
      <c r="C150" s="8">
        <v>442123.04</v>
      </c>
      <c r="D150" s="9">
        <f t="shared" si="11"/>
        <v>1668.3888301886791</v>
      </c>
      <c r="E150" s="9">
        <f t="shared" si="14"/>
        <v>50051.664905660371</v>
      </c>
      <c r="F150" s="10">
        <v>110000</v>
      </c>
      <c r="G150" s="9">
        <f t="shared" si="13"/>
        <v>-81857.181000000011</v>
      </c>
      <c r="H150" t="s">
        <v>46</v>
      </c>
    </row>
    <row r="151" spans="1:8" x14ac:dyDescent="0.25">
      <c r="A151" s="6" t="s">
        <v>14</v>
      </c>
      <c r="B151" s="7">
        <v>3040.706017</v>
      </c>
      <c r="C151" s="8">
        <v>546031.08050000004</v>
      </c>
      <c r="D151" s="9">
        <f t="shared" si="11"/>
        <v>2060.4946433962264</v>
      </c>
      <c r="E151" s="9">
        <f t="shared" si="14"/>
        <v>61814.839301886794</v>
      </c>
      <c r="F151" s="10">
        <v>3000</v>
      </c>
      <c r="G151" s="9">
        <f t="shared" si="13"/>
        <v>-40.706016999999974</v>
      </c>
      <c r="H151" t="s">
        <v>46</v>
      </c>
    </row>
    <row r="152" spans="1:8" x14ac:dyDescent="0.25">
      <c r="A152" s="6" t="s">
        <v>15</v>
      </c>
      <c r="B152" s="7">
        <v>638115.34154399997</v>
      </c>
      <c r="C152" s="8">
        <v>3626080.34</v>
      </c>
      <c r="D152" s="9">
        <f t="shared" si="11"/>
        <v>13683.322037735848</v>
      </c>
      <c r="E152" s="9">
        <f t="shared" si="14"/>
        <v>410499.66113207547</v>
      </c>
      <c r="F152" s="10">
        <v>450000</v>
      </c>
      <c r="G152" s="9">
        <f t="shared" si="13"/>
        <v>-188115.34154399997</v>
      </c>
      <c r="H152" t="s">
        <v>46</v>
      </c>
    </row>
    <row r="153" spans="1:8" x14ac:dyDescent="0.25">
      <c r="A153" s="6" t="s">
        <v>16</v>
      </c>
      <c r="B153" s="7">
        <v>525902.462558</v>
      </c>
      <c r="C153" s="8">
        <v>1685145.36</v>
      </c>
      <c r="D153" s="9">
        <f t="shared" si="11"/>
        <v>6359.0390943396233</v>
      </c>
      <c r="E153" s="9">
        <f t="shared" si="14"/>
        <v>190771.17283018871</v>
      </c>
      <c r="F153" s="10">
        <v>300000</v>
      </c>
      <c r="G153" s="9">
        <f t="shared" si="13"/>
        <v>-225902.462558</v>
      </c>
      <c r="H153" t="s">
        <v>46</v>
      </c>
    </row>
    <row r="154" spans="1:8" x14ac:dyDescent="0.25">
      <c r="A154" s="6" t="s">
        <v>17</v>
      </c>
      <c r="B154" s="7">
        <v>118422.965</v>
      </c>
      <c r="C154" s="8">
        <v>496127.18</v>
      </c>
      <c r="D154" s="9">
        <f t="shared" si="11"/>
        <v>1872.1780377358491</v>
      </c>
      <c r="E154" s="9">
        <f t="shared" si="14"/>
        <v>56165.341132075475</v>
      </c>
      <c r="F154" s="10">
        <v>90000</v>
      </c>
      <c r="G154" s="9">
        <f t="shared" si="13"/>
        <v>-28422.964999999997</v>
      </c>
      <c r="H154" t="s">
        <v>46</v>
      </c>
    </row>
    <row r="155" spans="1:8" x14ac:dyDescent="0.25">
      <c r="A155" s="6" t="s">
        <v>18</v>
      </c>
      <c r="B155" s="7">
        <v>53038.078565000003</v>
      </c>
      <c r="C155" s="8">
        <v>269638.77</v>
      </c>
      <c r="D155" s="9">
        <f t="shared" si="11"/>
        <v>1017.5047924528303</v>
      </c>
      <c r="E155" s="9">
        <f t="shared" si="14"/>
        <v>30525.14377358491</v>
      </c>
      <c r="F155" s="10">
        <v>40000</v>
      </c>
      <c r="G155" s="9">
        <f t="shared" si="13"/>
        <v>-13038.078565000003</v>
      </c>
      <c r="H155" t="s">
        <v>46</v>
      </c>
    </row>
    <row r="156" spans="1:8" x14ac:dyDescent="0.25">
      <c r="A156" s="6" t="s">
        <v>19</v>
      </c>
      <c r="B156" s="7">
        <v>24101.739949999999</v>
      </c>
      <c r="C156" s="8">
        <v>2767794.0005000001</v>
      </c>
      <c r="D156" s="9">
        <f t="shared" si="11"/>
        <v>10444.505662264151</v>
      </c>
      <c r="E156" s="9">
        <f t="shared" si="14"/>
        <v>313335.16986792453</v>
      </c>
      <c r="F156" s="10">
        <v>20000</v>
      </c>
      <c r="G156" s="9">
        <f t="shared" si="13"/>
        <v>-4101.7399499999992</v>
      </c>
      <c r="H156" t="s">
        <v>46</v>
      </c>
    </row>
    <row r="157" spans="1:8" x14ac:dyDescent="0.25">
      <c r="A157" s="6" t="s">
        <v>20</v>
      </c>
      <c r="B157" s="7">
        <v>566846.93350000004</v>
      </c>
      <c r="C157" s="8">
        <v>1679275</v>
      </c>
      <c r="D157" s="9">
        <f t="shared" si="11"/>
        <v>6336.8867924528304</v>
      </c>
      <c r="E157" s="9">
        <f t="shared" si="14"/>
        <v>190106.60377358491</v>
      </c>
      <c r="F157" s="10">
        <v>380000</v>
      </c>
      <c r="G157" s="9">
        <f t="shared" si="13"/>
        <v>-186846.93350000004</v>
      </c>
      <c r="H157" t="s">
        <v>46</v>
      </c>
    </row>
    <row r="158" spans="1:8" x14ac:dyDescent="0.25">
      <c r="A158" s="6" t="s">
        <v>21</v>
      </c>
      <c r="B158" s="7">
        <v>136940.9038</v>
      </c>
      <c r="C158" s="8">
        <v>403455.28</v>
      </c>
      <c r="D158" s="9">
        <f t="shared" si="11"/>
        <v>1522.4727547169812</v>
      </c>
      <c r="E158" s="9">
        <f t="shared" si="14"/>
        <v>45674.182641509433</v>
      </c>
      <c r="F158" s="10">
        <v>110000</v>
      </c>
      <c r="G158" s="9">
        <f t="shared" si="13"/>
        <v>-26940.9038</v>
      </c>
      <c r="H158" t="s">
        <v>46</v>
      </c>
    </row>
    <row r="159" spans="1:8" x14ac:dyDescent="0.25">
      <c r="A159" s="6" t="s">
        <v>22</v>
      </c>
      <c r="B159" s="7">
        <v>97882.0965</v>
      </c>
      <c r="C159" s="8">
        <v>710008.96</v>
      </c>
      <c r="D159" s="9">
        <f t="shared" si="11"/>
        <v>2679.2790943396226</v>
      </c>
      <c r="E159" s="9">
        <f t="shared" si="14"/>
        <v>80378.372830188673</v>
      </c>
      <c r="F159" s="10">
        <v>95000</v>
      </c>
      <c r="G159" s="9">
        <f t="shared" si="13"/>
        <v>-2882.0964999999997</v>
      </c>
      <c r="H159" t="s">
        <v>46</v>
      </c>
    </row>
    <row r="160" spans="1:8" x14ac:dyDescent="0.25">
      <c r="A160" s="6" t="s">
        <v>23</v>
      </c>
      <c r="B160" s="7">
        <v>263298.75680999999</v>
      </c>
      <c r="C160" s="8">
        <v>976355.32</v>
      </c>
      <c r="D160" s="9">
        <f t="shared" si="11"/>
        <v>3684.3596981132073</v>
      </c>
      <c r="E160" s="9">
        <f t="shared" si="14"/>
        <v>110530.79094339622</v>
      </c>
      <c r="F160" s="10">
        <v>160000</v>
      </c>
      <c r="G160" s="9">
        <f t="shared" si="13"/>
        <v>-103298.75680999999</v>
      </c>
      <c r="H160" t="s">
        <v>46</v>
      </c>
    </row>
    <row r="161" spans="1:8" x14ac:dyDescent="0.25">
      <c r="A161" s="6" t="s">
        <v>25</v>
      </c>
      <c r="B161" s="7">
        <v>496.31619999999998</v>
      </c>
      <c r="C161" s="8">
        <v>172.62</v>
      </c>
      <c r="D161" s="9">
        <f t="shared" si="11"/>
        <v>0.65139622641509431</v>
      </c>
      <c r="E161" s="9">
        <f t="shared" si="14"/>
        <v>19.541886792452829</v>
      </c>
      <c r="F161" s="10">
        <v>0</v>
      </c>
      <c r="G161" s="9">
        <f t="shared" si="13"/>
        <v>-496.31619999999998</v>
      </c>
      <c r="H161" t="s">
        <v>46</v>
      </c>
    </row>
    <row r="162" spans="1:8" x14ac:dyDescent="0.25">
      <c r="A162" s="6" t="s">
        <v>26</v>
      </c>
      <c r="B162" s="7">
        <v>17765.8302</v>
      </c>
      <c r="C162" s="8">
        <v>121638.33</v>
      </c>
      <c r="D162" s="9">
        <f t="shared" si="11"/>
        <v>459.01256603773584</v>
      </c>
      <c r="E162" s="9">
        <f t="shared" si="14"/>
        <v>13770.376981132074</v>
      </c>
      <c r="F162" s="10">
        <v>18000</v>
      </c>
      <c r="G162" s="9">
        <f t="shared" si="13"/>
        <v>234.16979999999967</v>
      </c>
      <c r="H162" t="s">
        <v>46</v>
      </c>
    </row>
    <row r="163" spans="1:8" x14ac:dyDescent="0.25">
      <c r="A163" s="6" t="s">
        <v>27</v>
      </c>
      <c r="B163" s="7">
        <v>31048.275099999999</v>
      </c>
      <c r="C163" s="8">
        <v>285446.09000000003</v>
      </c>
      <c r="D163" s="9">
        <f t="shared" si="11"/>
        <v>1077.1550566037736</v>
      </c>
      <c r="E163" s="9">
        <f t="shared" si="14"/>
        <v>32314.651698113208</v>
      </c>
      <c r="F163" s="10">
        <v>25000</v>
      </c>
      <c r="G163" s="9">
        <f t="shared" si="13"/>
        <v>-6048.2750999999989</v>
      </c>
      <c r="H163" t="s">
        <v>46</v>
      </c>
    </row>
    <row r="164" spans="1:8" x14ac:dyDescent="0.25">
      <c r="A164" s="6" t="s">
        <v>28</v>
      </c>
      <c r="B164" s="7">
        <v>41764.129990000001</v>
      </c>
      <c r="C164" s="8">
        <v>250857.51</v>
      </c>
      <c r="D164" s="9">
        <f t="shared" si="11"/>
        <v>946.63211320754715</v>
      </c>
      <c r="E164" s="9">
        <f t="shared" si="14"/>
        <v>28398.963396226416</v>
      </c>
      <c r="F164" s="10">
        <v>30000</v>
      </c>
      <c r="G164" s="9">
        <f t="shared" si="13"/>
        <v>-11764.129990000001</v>
      </c>
      <c r="H164" t="s">
        <v>46</v>
      </c>
    </row>
    <row r="165" spans="1:8" x14ac:dyDescent="0.25">
      <c r="A165" s="6" t="s">
        <v>29</v>
      </c>
      <c r="B165" s="7">
        <v>313.95049999999998</v>
      </c>
      <c r="C165" s="8">
        <v>1614.29</v>
      </c>
      <c r="D165" s="9">
        <f t="shared" si="11"/>
        <v>6.0916603773584903</v>
      </c>
      <c r="E165" s="9">
        <f t="shared" si="14"/>
        <v>182.7498113207547</v>
      </c>
      <c r="F165" s="10">
        <v>0</v>
      </c>
      <c r="G165" s="9">
        <f t="shared" si="13"/>
        <v>-313.95049999999998</v>
      </c>
      <c r="H165" t="s">
        <v>46</v>
      </c>
    </row>
    <row r="166" spans="1:8" x14ac:dyDescent="0.25">
      <c r="A166" s="6" t="s">
        <v>30</v>
      </c>
      <c r="B166" s="7">
        <v>69514.774575999996</v>
      </c>
      <c r="C166" s="8">
        <v>1505171.2379999999</v>
      </c>
      <c r="D166" s="9">
        <f t="shared" si="11"/>
        <v>5679.8914641509427</v>
      </c>
      <c r="E166" s="9">
        <f t="shared" si="14"/>
        <v>170396.74392452827</v>
      </c>
      <c r="F166" s="10">
        <v>55000</v>
      </c>
      <c r="G166" s="9">
        <f t="shared" si="13"/>
        <v>-14514.774575999996</v>
      </c>
      <c r="H166" t="s">
        <v>46</v>
      </c>
    </row>
    <row r="167" spans="1:8" x14ac:dyDescent="0.25">
      <c r="A167" s="6" t="s">
        <v>31</v>
      </c>
      <c r="B167" s="7">
        <v>20504.750100000001</v>
      </c>
      <c r="C167" s="8">
        <v>165231.052</v>
      </c>
      <c r="D167" s="9">
        <f t="shared" si="11"/>
        <v>623.51340377358486</v>
      </c>
      <c r="E167" s="9">
        <f t="shared" si="14"/>
        <v>18705.402113207547</v>
      </c>
      <c r="F167" s="10">
        <v>5000</v>
      </c>
      <c r="G167" s="9">
        <f t="shared" si="13"/>
        <v>-15504.750100000001</v>
      </c>
      <c r="H167" t="s">
        <v>46</v>
      </c>
    </row>
    <row r="168" spans="1:8" x14ac:dyDescent="0.25">
      <c r="A168" s="6" t="s">
        <v>32</v>
      </c>
      <c r="B168" s="7">
        <v>49828.361599999997</v>
      </c>
      <c r="C168" s="8">
        <v>160390.89000000001</v>
      </c>
      <c r="D168" s="9">
        <f t="shared" si="11"/>
        <v>605.24864150943404</v>
      </c>
      <c r="E168" s="9">
        <f t="shared" si="14"/>
        <v>18157.459245283022</v>
      </c>
      <c r="F168" s="10">
        <v>35000</v>
      </c>
      <c r="G168" s="9">
        <f t="shared" si="13"/>
        <v>-14828.361599999997</v>
      </c>
      <c r="H168" t="s">
        <v>46</v>
      </c>
    </row>
    <row r="169" spans="1:8" x14ac:dyDescent="0.25">
      <c r="A169" s="6" t="s">
        <v>33</v>
      </c>
      <c r="B169" s="7">
        <v>52518.230600000003</v>
      </c>
      <c r="C169" s="8">
        <v>1043244.54</v>
      </c>
      <c r="D169" s="9">
        <f t="shared" si="11"/>
        <v>3936.771849056604</v>
      </c>
      <c r="E169" s="9">
        <f t="shared" si="14"/>
        <v>118103.15547169812</v>
      </c>
      <c r="F169" s="10">
        <v>15000</v>
      </c>
      <c r="G169" s="9">
        <f t="shared" si="13"/>
        <v>-37518.230600000003</v>
      </c>
      <c r="H169" t="s">
        <v>46</v>
      </c>
    </row>
    <row r="170" spans="1:8" x14ac:dyDescent="0.25">
      <c r="A170" s="6" t="s">
        <v>34</v>
      </c>
      <c r="B170" s="7">
        <v>55577.128375</v>
      </c>
      <c r="C170" s="8">
        <v>63469.53</v>
      </c>
      <c r="D170" s="9">
        <f t="shared" si="11"/>
        <v>239.50766037735849</v>
      </c>
      <c r="E170" s="9">
        <f t="shared" si="14"/>
        <v>7185.2298113207544</v>
      </c>
      <c r="F170" s="10">
        <v>30000</v>
      </c>
      <c r="G170" s="9">
        <f t="shared" si="13"/>
        <v>-25577.128375</v>
      </c>
      <c r="H170" t="s">
        <v>46</v>
      </c>
    </row>
    <row r="171" spans="1:8" x14ac:dyDescent="0.25">
      <c r="A171" s="6" t="s">
        <v>35</v>
      </c>
      <c r="B171" s="7">
        <v>37591.1878</v>
      </c>
      <c r="C171" s="8">
        <v>263904.18</v>
      </c>
      <c r="D171" s="9">
        <f t="shared" si="11"/>
        <v>995.86483018867921</v>
      </c>
      <c r="E171" s="9">
        <f t="shared" si="14"/>
        <v>29875.944905660377</v>
      </c>
      <c r="F171" s="10">
        <v>18000</v>
      </c>
      <c r="G171" s="9">
        <f t="shared" si="13"/>
        <v>-19591.1878</v>
      </c>
      <c r="H171" t="s">
        <v>46</v>
      </c>
    </row>
    <row r="172" spans="1:8" x14ac:dyDescent="0.25">
      <c r="A172" s="6" t="s">
        <v>36</v>
      </c>
      <c r="B172" s="7">
        <v>24075.738399999998</v>
      </c>
      <c r="C172" s="8">
        <v>106967.57</v>
      </c>
      <c r="D172" s="9">
        <f t="shared" si="11"/>
        <v>403.65120754716986</v>
      </c>
      <c r="E172" s="9">
        <f t="shared" si="14"/>
        <v>12109.536226415095</v>
      </c>
      <c r="F172" s="10">
        <v>24000</v>
      </c>
      <c r="G172" s="9">
        <f t="shared" si="13"/>
        <v>-75.738399999998364</v>
      </c>
      <c r="H172" t="s">
        <v>46</v>
      </c>
    </row>
    <row r="173" spans="1:8" x14ac:dyDescent="0.25">
      <c r="A173" s="6" t="s">
        <v>37</v>
      </c>
      <c r="B173" s="7">
        <v>56694.946300000003</v>
      </c>
      <c r="C173" s="8">
        <v>298102.76</v>
      </c>
      <c r="D173" s="9">
        <f t="shared" si="11"/>
        <v>1124.9160754716982</v>
      </c>
      <c r="E173" s="9">
        <f t="shared" si="14"/>
        <v>33747.482264150945</v>
      </c>
      <c r="F173" s="10">
        <v>60000</v>
      </c>
      <c r="G173" s="9">
        <f t="shared" si="13"/>
        <v>3305.0536999999968</v>
      </c>
      <c r="H173" t="s">
        <v>46</v>
      </c>
    </row>
    <row r="174" spans="1:8" s="14" customFormat="1" x14ac:dyDescent="0.25">
      <c r="A174" s="6" t="s">
        <v>8</v>
      </c>
      <c r="B174" s="7">
        <v>10098.416499999999</v>
      </c>
      <c r="C174" s="8">
        <v>450788.1</v>
      </c>
      <c r="D174" s="9">
        <f t="shared" si="11"/>
        <v>1701.0871698113206</v>
      </c>
      <c r="E174" s="9">
        <f>D174*30</f>
        <v>51032.615094339621</v>
      </c>
      <c r="F174" s="10">
        <v>10000</v>
      </c>
      <c r="G174" s="9">
        <f t="shared" si="13"/>
        <v>-98.41649999999936</v>
      </c>
      <c r="H174" s="14" t="s">
        <v>47</v>
      </c>
    </row>
    <row r="175" spans="1:8" s="14" customFormat="1" x14ac:dyDescent="0.25">
      <c r="A175" s="6" t="s">
        <v>10</v>
      </c>
      <c r="B175" s="7">
        <v>84593.682700000005</v>
      </c>
      <c r="C175" s="8">
        <v>1044327.37</v>
      </c>
      <c r="D175" s="9">
        <f t="shared" si="11"/>
        <v>3940.8580000000002</v>
      </c>
      <c r="E175" s="9">
        <f t="shared" ref="E175:E203" si="15">D175*30</f>
        <v>118225.74</v>
      </c>
      <c r="F175" s="10">
        <v>70000</v>
      </c>
      <c r="G175" s="9">
        <f t="shared" si="13"/>
        <v>-14593.682700000005</v>
      </c>
      <c r="H175" s="14" t="s">
        <v>47</v>
      </c>
    </row>
    <row r="176" spans="1:8" s="14" customFormat="1" x14ac:dyDescent="0.25">
      <c r="A176" s="6" t="s">
        <v>11</v>
      </c>
      <c r="B176" s="7">
        <v>25239.35816</v>
      </c>
      <c r="C176" s="8">
        <v>2435124.997</v>
      </c>
      <c r="D176" s="9">
        <f t="shared" si="11"/>
        <v>9189.1509320754722</v>
      </c>
      <c r="E176" s="9">
        <f t="shared" si="15"/>
        <v>275674.52796226414</v>
      </c>
      <c r="F176" s="10">
        <v>20000</v>
      </c>
      <c r="G176" s="9">
        <f t="shared" si="13"/>
        <v>-5239.3581599999998</v>
      </c>
      <c r="H176" s="14" t="s">
        <v>47</v>
      </c>
    </row>
    <row r="177" spans="1:8" s="14" customFormat="1" x14ac:dyDescent="0.25">
      <c r="A177" s="6" t="s">
        <v>12</v>
      </c>
      <c r="B177" s="7">
        <v>30479.061399999999</v>
      </c>
      <c r="C177" s="8">
        <v>2083522.46</v>
      </c>
      <c r="D177" s="9">
        <f t="shared" si="11"/>
        <v>7862.3489056603776</v>
      </c>
      <c r="E177" s="9">
        <f t="shared" si="15"/>
        <v>235870.46716981134</v>
      </c>
      <c r="F177" s="10">
        <v>30000</v>
      </c>
      <c r="G177" s="9">
        <f t="shared" si="13"/>
        <v>-479.06139999999868</v>
      </c>
      <c r="H177" s="14" t="s">
        <v>47</v>
      </c>
    </row>
    <row r="178" spans="1:8" s="14" customFormat="1" x14ac:dyDescent="0.25">
      <c r="A178" s="6" t="s">
        <v>13</v>
      </c>
      <c r="B178" s="7">
        <v>275131.24540000001</v>
      </c>
      <c r="C178" s="8">
        <v>758327.92</v>
      </c>
      <c r="D178" s="9">
        <f t="shared" si="11"/>
        <v>2861.6147924528304</v>
      </c>
      <c r="E178" s="9">
        <f t="shared" si="15"/>
        <v>85848.443773584906</v>
      </c>
      <c r="F178" s="10">
        <v>180000</v>
      </c>
      <c r="G178" s="9">
        <f t="shared" si="13"/>
        <v>-95131.245400000014</v>
      </c>
      <c r="H178" s="14" t="s">
        <v>47</v>
      </c>
    </row>
    <row r="179" spans="1:8" s="14" customFormat="1" x14ac:dyDescent="0.25">
      <c r="A179" s="6" t="s">
        <v>14</v>
      </c>
      <c r="B179" s="7">
        <v>11889.096584999999</v>
      </c>
      <c r="C179" s="8">
        <v>968487.59979999997</v>
      </c>
      <c r="D179" s="9">
        <f t="shared" si="11"/>
        <v>3654.6701879245284</v>
      </c>
      <c r="E179" s="9">
        <f t="shared" si="15"/>
        <v>109640.10563773585</v>
      </c>
      <c r="F179" s="10">
        <v>10000</v>
      </c>
      <c r="G179" s="9">
        <f t="shared" si="13"/>
        <v>-1889.0965849999993</v>
      </c>
      <c r="H179" s="14" t="s">
        <v>47</v>
      </c>
    </row>
    <row r="180" spans="1:8" s="14" customFormat="1" x14ac:dyDescent="0.25">
      <c r="A180" s="6" t="s">
        <v>15</v>
      </c>
      <c r="B180" s="7">
        <v>912113.39800000004</v>
      </c>
      <c r="C180" s="8">
        <v>5400183.8499999996</v>
      </c>
      <c r="D180" s="9">
        <f t="shared" si="11"/>
        <v>20378.052264150941</v>
      </c>
      <c r="E180" s="9">
        <f t="shared" si="15"/>
        <v>611341.56792452827</v>
      </c>
      <c r="F180" s="10">
        <v>700000</v>
      </c>
      <c r="G180" s="9">
        <f t="shared" si="13"/>
        <v>-212113.39800000004</v>
      </c>
      <c r="H180" s="14" t="s">
        <v>47</v>
      </c>
    </row>
    <row r="181" spans="1:8" s="14" customFormat="1" x14ac:dyDescent="0.25">
      <c r="A181" s="6" t="s">
        <v>16</v>
      </c>
      <c r="B181" s="7">
        <v>821958.71849999996</v>
      </c>
      <c r="C181" s="8">
        <v>2461960.85</v>
      </c>
      <c r="D181" s="9">
        <f t="shared" si="11"/>
        <v>9290.4183018867934</v>
      </c>
      <c r="E181" s="9">
        <f t="shared" si="15"/>
        <v>278712.54905660381</v>
      </c>
      <c r="F181" s="10">
        <v>400000</v>
      </c>
      <c r="G181" s="9">
        <f t="shared" si="13"/>
        <v>-421958.71849999996</v>
      </c>
      <c r="H181" s="14" t="s">
        <v>47</v>
      </c>
    </row>
    <row r="182" spans="1:8" s="14" customFormat="1" x14ac:dyDescent="0.25">
      <c r="A182" s="6" t="s">
        <v>17</v>
      </c>
      <c r="B182" s="7">
        <v>216271.1201</v>
      </c>
      <c r="C182" s="8">
        <v>905993.3</v>
      </c>
      <c r="D182" s="9">
        <f t="shared" si="11"/>
        <v>3418.8426415094341</v>
      </c>
      <c r="E182" s="9">
        <f t="shared" si="15"/>
        <v>102565.27924528302</v>
      </c>
      <c r="F182" s="10">
        <v>180000</v>
      </c>
      <c r="G182" s="9">
        <f t="shared" si="13"/>
        <v>-36271.1201</v>
      </c>
      <c r="H182" s="14" t="s">
        <v>47</v>
      </c>
    </row>
    <row r="183" spans="1:8" s="14" customFormat="1" x14ac:dyDescent="0.25">
      <c r="A183" s="6" t="s">
        <v>18</v>
      </c>
      <c r="B183" s="7">
        <v>81909.312399999995</v>
      </c>
      <c r="C183" s="8">
        <v>432657.76</v>
      </c>
      <c r="D183" s="9">
        <f t="shared" ref="D183:D203" si="16">C183/265</f>
        <v>1632.6707924528303</v>
      </c>
      <c r="E183" s="9">
        <f t="shared" si="15"/>
        <v>48980.123773584906</v>
      </c>
      <c r="F183" s="10">
        <v>65000</v>
      </c>
      <c r="G183" s="9">
        <f t="shared" ref="G183:G196" si="17">F183-B183</f>
        <v>-16909.312399999995</v>
      </c>
      <c r="H183" s="14" t="s">
        <v>47</v>
      </c>
    </row>
    <row r="184" spans="1:8" s="14" customFormat="1" x14ac:dyDescent="0.25">
      <c r="A184" s="6" t="s">
        <v>19</v>
      </c>
      <c r="B184" s="7">
        <v>22796.29248</v>
      </c>
      <c r="C184" s="8">
        <v>3773201.1932000001</v>
      </c>
      <c r="D184" s="9">
        <f t="shared" si="16"/>
        <v>14238.495068679245</v>
      </c>
      <c r="E184" s="9">
        <f t="shared" si="15"/>
        <v>427154.85206037736</v>
      </c>
      <c r="F184" s="10">
        <v>20000</v>
      </c>
      <c r="G184" s="9">
        <f t="shared" si="17"/>
        <v>-2796.2924800000001</v>
      </c>
      <c r="H184" s="14" t="s">
        <v>47</v>
      </c>
    </row>
    <row r="185" spans="1:8" s="14" customFormat="1" x14ac:dyDescent="0.25">
      <c r="A185" s="6" t="s">
        <v>20</v>
      </c>
      <c r="B185" s="7">
        <v>862796.10244000005</v>
      </c>
      <c r="C185" s="8">
        <v>2551928.7400000002</v>
      </c>
      <c r="D185" s="9">
        <f t="shared" si="16"/>
        <v>9629.9197735849066</v>
      </c>
      <c r="E185" s="9">
        <f t="shared" si="15"/>
        <v>288897.59320754721</v>
      </c>
      <c r="F185" s="10">
        <v>580000</v>
      </c>
      <c r="G185" s="9">
        <f t="shared" si="17"/>
        <v>-282796.10244000005</v>
      </c>
      <c r="H185" s="14" t="s">
        <v>47</v>
      </c>
    </row>
    <row r="186" spans="1:8" s="14" customFormat="1" x14ac:dyDescent="0.25">
      <c r="A186" s="6" t="s">
        <v>21</v>
      </c>
      <c r="B186" s="7">
        <v>246698.45050000001</v>
      </c>
      <c r="C186" s="8">
        <v>672067.2</v>
      </c>
      <c r="D186" s="9">
        <f t="shared" si="16"/>
        <v>2536.1026415094339</v>
      </c>
      <c r="E186" s="9">
        <f t="shared" si="15"/>
        <v>76083.079245283021</v>
      </c>
      <c r="F186" s="10">
        <v>190000</v>
      </c>
      <c r="G186" s="9">
        <f t="shared" si="17"/>
        <v>-56698.450500000006</v>
      </c>
      <c r="H186" s="14" t="s">
        <v>47</v>
      </c>
    </row>
    <row r="187" spans="1:8" s="14" customFormat="1" x14ac:dyDescent="0.25">
      <c r="A187" s="6" t="s">
        <v>22</v>
      </c>
      <c r="B187" s="7">
        <v>157801.97570000001</v>
      </c>
      <c r="C187" s="8">
        <v>933699.63</v>
      </c>
      <c r="D187" s="9">
        <f t="shared" si="16"/>
        <v>3523.3948301886794</v>
      </c>
      <c r="E187" s="9">
        <f t="shared" si="15"/>
        <v>105701.84490566039</v>
      </c>
      <c r="F187" s="10">
        <v>140000</v>
      </c>
      <c r="G187" s="9">
        <f t="shared" si="17"/>
        <v>-17801.97570000001</v>
      </c>
      <c r="H187" s="14" t="s">
        <v>47</v>
      </c>
    </row>
    <row r="188" spans="1:8" s="14" customFormat="1" x14ac:dyDescent="0.25">
      <c r="A188" s="6" t="s">
        <v>23</v>
      </c>
      <c r="B188" s="7">
        <v>322862.05990200001</v>
      </c>
      <c r="C188" s="8">
        <v>1148605.55</v>
      </c>
      <c r="D188" s="9">
        <f t="shared" si="16"/>
        <v>4334.3605660377361</v>
      </c>
      <c r="E188" s="9">
        <f t="shared" si="15"/>
        <v>130030.81698113208</v>
      </c>
      <c r="F188" s="10">
        <v>180000</v>
      </c>
      <c r="G188" s="9">
        <f t="shared" si="17"/>
        <v>-142862.05990200001</v>
      </c>
      <c r="H188" s="14" t="s">
        <v>47</v>
      </c>
    </row>
    <row r="189" spans="1:8" s="14" customFormat="1" x14ac:dyDescent="0.25">
      <c r="A189" s="6" t="s">
        <v>25</v>
      </c>
      <c r="B189" s="7">
        <v>1793.4469999999999</v>
      </c>
      <c r="C189" s="8">
        <v>1003.27</v>
      </c>
      <c r="D189" s="9">
        <f t="shared" si="16"/>
        <v>3.7859245283018867</v>
      </c>
      <c r="E189" s="9">
        <f t="shared" si="15"/>
        <v>113.57773584905661</v>
      </c>
      <c r="F189" s="10">
        <v>0</v>
      </c>
      <c r="G189" s="9">
        <f t="shared" si="17"/>
        <v>-1793.4469999999999</v>
      </c>
      <c r="H189" s="14" t="s">
        <v>47</v>
      </c>
    </row>
    <row r="190" spans="1:8" s="14" customFormat="1" x14ac:dyDescent="0.25">
      <c r="A190" s="6" t="s">
        <v>26</v>
      </c>
      <c r="B190" s="7">
        <v>26241.480299999999</v>
      </c>
      <c r="C190" s="8">
        <v>115962.46</v>
      </c>
      <c r="D190" s="9">
        <f t="shared" si="16"/>
        <v>437.59418867924529</v>
      </c>
      <c r="E190" s="9">
        <f t="shared" si="15"/>
        <v>13127.825660377359</v>
      </c>
      <c r="F190" s="10">
        <v>20000</v>
      </c>
      <c r="G190" s="9">
        <f t="shared" si="17"/>
        <v>-6241.4802999999993</v>
      </c>
      <c r="H190" s="14" t="s">
        <v>47</v>
      </c>
    </row>
    <row r="191" spans="1:8" s="14" customFormat="1" x14ac:dyDescent="0.25">
      <c r="A191" s="6" t="s">
        <v>27</v>
      </c>
      <c r="B191" s="7">
        <v>51895.545700000002</v>
      </c>
      <c r="C191" s="8">
        <v>345056.37</v>
      </c>
      <c r="D191" s="9">
        <f t="shared" si="16"/>
        <v>1302.0995094339623</v>
      </c>
      <c r="E191" s="9">
        <f t="shared" si="15"/>
        <v>39062.985283018868</v>
      </c>
      <c r="F191" s="10">
        <v>30000</v>
      </c>
      <c r="G191" s="9">
        <f t="shared" si="17"/>
        <v>-21895.545700000002</v>
      </c>
      <c r="H191" s="14" t="s">
        <v>47</v>
      </c>
    </row>
    <row r="192" spans="1:8" s="14" customFormat="1" x14ac:dyDescent="0.25">
      <c r="A192" s="6" t="s">
        <v>28</v>
      </c>
      <c r="B192" s="7">
        <v>53184.626600000003</v>
      </c>
      <c r="C192" s="8">
        <v>350747.58</v>
      </c>
      <c r="D192" s="9">
        <f t="shared" si="16"/>
        <v>1323.5757735849056</v>
      </c>
      <c r="E192" s="9">
        <f t="shared" si="15"/>
        <v>39707.273207547172</v>
      </c>
      <c r="F192" s="10">
        <v>40000</v>
      </c>
      <c r="G192" s="9">
        <f t="shared" si="17"/>
        <v>-13184.626600000003</v>
      </c>
      <c r="H192" s="14" t="s">
        <v>47</v>
      </c>
    </row>
    <row r="193" spans="1:8" s="14" customFormat="1" x14ac:dyDescent="0.25">
      <c r="A193" s="6" t="s">
        <v>29</v>
      </c>
      <c r="B193" s="7">
        <v>219995.61</v>
      </c>
      <c r="C193" s="8">
        <v>2044421.17</v>
      </c>
      <c r="D193" s="9">
        <f t="shared" si="16"/>
        <v>7714.7968679245278</v>
      </c>
      <c r="E193" s="9">
        <f t="shared" si="15"/>
        <v>231443.90603773584</v>
      </c>
      <c r="F193" s="10">
        <v>180000</v>
      </c>
      <c r="G193" s="9">
        <f t="shared" si="17"/>
        <v>-39995.609999999986</v>
      </c>
      <c r="H193" s="14" t="s">
        <v>47</v>
      </c>
    </row>
    <row r="194" spans="1:8" s="14" customFormat="1" x14ac:dyDescent="0.25">
      <c r="A194" s="6" t="s">
        <v>30</v>
      </c>
      <c r="B194" s="7">
        <v>13088.972132999999</v>
      </c>
      <c r="C194" s="8">
        <v>325190.23200000002</v>
      </c>
      <c r="D194" s="9">
        <f t="shared" si="16"/>
        <v>1227.1329509433963</v>
      </c>
      <c r="E194" s="9">
        <f t="shared" si="15"/>
        <v>36813.988528301888</v>
      </c>
      <c r="F194" s="10">
        <v>10000</v>
      </c>
      <c r="G194" s="9">
        <f t="shared" si="17"/>
        <v>-3088.9721329999993</v>
      </c>
      <c r="H194" s="14" t="s">
        <v>47</v>
      </c>
    </row>
    <row r="195" spans="1:8" s="14" customFormat="1" x14ac:dyDescent="0.25">
      <c r="A195" s="6" t="s">
        <v>31</v>
      </c>
      <c r="B195" s="7">
        <v>23844.6489</v>
      </c>
      <c r="C195" s="8">
        <v>211822.2</v>
      </c>
      <c r="D195" s="9">
        <f t="shared" si="16"/>
        <v>799.32905660377367</v>
      </c>
      <c r="E195" s="9">
        <f t="shared" si="15"/>
        <v>23979.871698113209</v>
      </c>
      <c r="F195" s="10">
        <v>10000</v>
      </c>
      <c r="G195" s="9">
        <f t="shared" si="17"/>
        <v>-13844.6489</v>
      </c>
      <c r="H195" s="14" t="s">
        <v>47</v>
      </c>
    </row>
    <row r="196" spans="1:8" s="14" customFormat="1" x14ac:dyDescent="0.25">
      <c r="A196" s="6" t="s">
        <v>32</v>
      </c>
      <c r="B196" s="7">
        <v>107132.000464</v>
      </c>
      <c r="C196" s="8">
        <v>244832.94</v>
      </c>
      <c r="D196" s="9">
        <f t="shared" si="16"/>
        <v>923.89788679245282</v>
      </c>
      <c r="E196" s="9">
        <f t="shared" si="15"/>
        <v>27716.936603773585</v>
      </c>
      <c r="F196" s="10">
        <v>55000</v>
      </c>
      <c r="G196" s="9">
        <f t="shared" si="17"/>
        <v>-52132.000463999997</v>
      </c>
      <c r="H196" s="14" t="s">
        <v>47</v>
      </c>
    </row>
    <row r="197" spans="1:8" s="14" customFormat="1" x14ac:dyDescent="0.25">
      <c r="A197" s="6" t="s">
        <v>33</v>
      </c>
      <c r="B197" s="7">
        <v>36666.079700000002</v>
      </c>
      <c r="C197" s="8">
        <v>641629.19999999995</v>
      </c>
      <c r="D197" s="9">
        <f t="shared" si="16"/>
        <v>2421.2422641509434</v>
      </c>
      <c r="E197" s="9">
        <f t="shared" si="15"/>
        <v>72637.267924528307</v>
      </c>
      <c r="F197" s="10">
        <v>10000</v>
      </c>
      <c r="G197" s="9">
        <f>F197-B197</f>
        <v>-26666.079700000002</v>
      </c>
      <c r="H197" s="14" t="s">
        <v>47</v>
      </c>
    </row>
    <row r="198" spans="1:8" s="14" customFormat="1" x14ac:dyDescent="0.25">
      <c r="A198" s="6" t="s">
        <v>34</v>
      </c>
      <c r="B198" s="7">
        <v>41320.421690000003</v>
      </c>
      <c r="C198" s="8">
        <v>68932.345000000001</v>
      </c>
      <c r="D198" s="9">
        <f t="shared" si="16"/>
        <v>260.12205660377361</v>
      </c>
      <c r="E198" s="9">
        <f t="shared" si="15"/>
        <v>7803.6616981132083</v>
      </c>
      <c r="F198" s="10">
        <v>25000</v>
      </c>
      <c r="G198" s="9">
        <f>F198-B198</f>
        <v>-16320.421690000003</v>
      </c>
      <c r="H198" s="14" t="s">
        <v>47</v>
      </c>
    </row>
    <row r="199" spans="1:8" s="14" customFormat="1" x14ac:dyDescent="0.25">
      <c r="A199" s="6" t="s">
        <v>35</v>
      </c>
      <c r="B199" s="7">
        <v>45804.792399999998</v>
      </c>
      <c r="C199" s="8">
        <v>423474.32</v>
      </c>
      <c r="D199" s="9">
        <f t="shared" si="16"/>
        <v>1598.0163018867925</v>
      </c>
      <c r="E199" s="9">
        <f t="shared" si="15"/>
        <v>47940.489056603772</v>
      </c>
      <c r="F199" s="10">
        <v>28000</v>
      </c>
      <c r="G199" s="9">
        <f>F199-B199</f>
        <v>-17804.792399999998</v>
      </c>
      <c r="H199" s="14" t="s">
        <v>47</v>
      </c>
    </row>
    <row r="200" spans="1:8" s="14" customFormat="1" x14ac:dyDescent="0.25">
      <c r="A200" s="6" t="s">
        <v>36</v>
      </c>
      <c r="B200" s="7">
        <v>82566.019899999999</v>
      </c>
      <c r="C200" s="8">
        <v>250769.95</v>
      </c>
      <c r="D200" s="9">
        <f t="shared" si="16"/>
        <v>946.30169811320764</v>
      </c>
      <c r="E200" s="9">
        <f t="shared" si="15"/>
        <v>28389.050943396229</v>
      </c>
      <c r="F200" s="10">
        <v>60000</v>
      </c>
      <c r="G200" s="9">
        <f>F200-B200</f>
        <v>-22566.019899999999</v>
      </c>
      <c r="H200" s="14" t="s">
        <v>47</v>
      </c>
    </row>
    <row r="201" spans="1:8" s="14" customFormat="1" x14ac:dyDescent="0.25">
      <c r="A201" s="6" t="s">
        <v>37</v>
      </c>
      <c r="B201" s="7">
        <v>145692.9523</v>
      </c>
      <c r="C201" s="8">
        <v>466227.3</v>
      </c>
      <c r="D201" s="9">
        <f t="shared" si="16"/>
        <v>1759.3483018867923</v>
      </c>
      <c r="E201" s="9">
        <f t="shared" si="15"/>
        <v>52780.449056603771</v>
      </c>
      <c r="F201" s="10">
        <v>140000</v>
      </c>
      <c r="G201" s="9">
        <f>F201-B201</f>
        <v>-5692.9523000000045</v>
      </c>
      <c r="H201" s="14" t="s">
        <v>47</v>
      </c>
    </row>
    <row r="202" spans="1:8" s="14" customFormat="1" x14ac:dyDescent="0.25">
      <c r="A202" s="6" t="s">
        <v>48</v>
      </c>
      <c r="B202" s="7">
        <v>74781.673099000007</v>
      </c>
      <c r="C202" s="8">
        <v>1804379.9302000001</v>
      </c>
      <c r="D202" s="9">
        <f t="shared" si="16"/>
        <v>6808.9808686792458</v>
      </c>
      <c r="E202" s="9">
        <f t="shared" si="15"/>
        <v>204269.42606037739</v>
      </c>
      <c r="F202" s="10">
        <v>75000</v>
      </c>
      <c r="G202" s="9">
        <f t="shared" ref="G202:G203" si="18">F202-B202</f>
        <v>218.32690099999309</v>
      </c>
      <c r="H202" s="14" t="s">
        <v>47</v>
      </c>
    </row>
    <row r="203" spans="1:8" s="14" customFormat="1" x14ac:dyDescent="0.25">
      <c r="A203" s="14" t="s">
        <v>24</v>
      </c>
      <c r="B203" s="7">
        <v>40148.035485</v>
      </c>
      <c r="C203" s="8">
        <v>75031.23</v>
      </c>
      <c r="D203" s="9">
        <f t="shared" si="16"/>
        <v>283.13671698113205</v>
      </c>
      <c r="E203" s="9">
        <f t="shared" si="15"/>
        <v>8494.1015094339618</v>
      </c>
      <c r="F203" s="10">
        <v>20000</v>
      </c>
      <c r="G203" s="9">
        <f t="shared" si="18"/>
        <v>-20148.035485</v>
      </c>
      <c r="H203" s="14" t="s">
        <v>47</v>
      </c>
    </row>
    <row r="204" spans="1:8" x14ac:dyDescent="0.25">
      <c r="A204" s="6" t="s">
        <v>8</v>
      </c>
      <c r="B204" s="7">
        <v>2614.1957000000002</v>
      </c>
      <c r="C204" s="8">
        <v>125600.92</v>
      </c>
      <c r="D204" s="9">
        <v>473.96573584905661</v>
      </c>
      <c r="E204" s="9">
        <v>14218.972075471698</v>
      </c>
      <c r="F204" s="10">
        <v>4000</v>
      </c>
      <c r="G204" s="9">
        <v>1385.8042999999998</v>
      </c>
      <c r="H204" t="s">
        <v>49</v>
      </c>
    </row>
    <row r="205" spans="1:8" x14ac:dyDescent="0.25">
      <c r="A205" s="6" t="s">
        <v>10</v>
      </c>
      <c r="B205" s="7">
        <v>17915.623</v>
      </c>
      <c r="C205" s="8">
        <v>192049.92000000001</v>
      </c>
      <c r="D205" s="9">
        <v>724.7166792452831</v>
      </c>
      <c r="E205" s="9">
        <v>21741.500377358494</v>
      </c>
      <c r="F205" s="10">
        <v>18000</v>
      </c>
      <c r="G205" s="9">
        <v>84.377000000000407</v>
      </c>
      <c r="H205" t="s">
        <v>49</v>
      </c>
    </row>
    <row r="206" spans="1:8" x14ac:dyDescent="0.25">
      <c r="A206" s="6" t="s">
        <v>11</v>
      </c>
      <c r="B206" s="7">
        <v>2576.7501969999998</v>
      </c>
      <c r="C206" s="8">
        <v>474984.61129999999</v>
      </c>
      <c r="D206" s="9">
        <v>1792.3947596226415</v>
      </c>
      <c r="E206" s="9">
        <v>53771.842788679241</v>
      </c>
      <c r="F206" s="10">
        <v>3000</v>
      </c>
      <c r="G206" s="9">
        <v>423.24980300000016</v>
      </c>
      <c r="H206" t="s">
        <v>49</v>
      </c>
    </row>
    <row r="207" spans="1:8" x14ac:dyDescent="0.25">
      <c r="A207" s="6" t="s">
        <v>12</v>
      </c>
      <c r="B207" s="7">
        <v>13911.605</v>
      </c>
      <c r="C207" s="8">
        <v>689115.65</v>
      </c>
      <c r="D207" s="9">
        <v>2600.4364150943397</v>
      </c>
      <c r="E207" s="9">
        <v>78013.092452830198</v>
      </c>
      <c r="F207" s="10">
        <v>15000</v>
      </c>
      <c r="G207" s="9">
        <v>1088.3950000000004</v>
      </c>
      <c r="H207" t="s">
        <v>49</v>
      </c>
    </row>
    <row r="208" spans="1:8" x14ac:dyDescent="0.25">
      <c r="A208" s="6" t="s">
        <v>13</v>
      </c>
      <c r="B208" s="7">
        <v>61283.065499999997</v>
      </c>
      <c r="C208" s="8">
        <v>85880.87</v>
      </c>
      <c r="D208" s="9">
        <v>324.07875471698111</v>
      </c>
      <c r="E208" s="9">
        <v>9722.3626415094332</v>
      </c>
      <c r="F208" s="10">
        <v>35000</v>
      </c>
      <c r="G208" s="9">
        <v>-26283.065499999997</v>
      </c>
      <c r="H208" t="s">
        <v>49</v>
      </c>
    </row>
    <row r="209" spans="1:8" x14ac:dyDescent="0.25">
      <c r="A209" s="6" t="s">
        <v>14</v>
      </c>
      <c r="B209" s="7">
        <v>276.18744800000002</v>
      </c>
      <c r="C209" s="8">
        <v>200170.6298</v>
      </c>
      <c r="D209" s="9">
        <v>755.36086716981129</v>
      </c>
      <c r="E209" s="9">
        <v>22660.826015094339</v>
      </c>
      <c r="F209" s="10">
        <v>1000</v>
      </c>
      <c r="G209" s="9">
        <v>723.81255199999998</v>
      </c>
      <c r="H209" t="s">
        <v>49</v>
      </c>
    </row>
    <row r="210" spans="1:8" x14ac:dyDescent="0.25">
      <c r="A210" s="6" t="s">
        <v>15</v>
      </c>
      <c r="B210" s="7">
        <v>220887.47169999999</v>
      </c>
      <c r="C210" s="8">
        <v>1128085.97</v>
      </c>
      <c r="D210" s="9">
        <v>4256.9281886792451</v>
      </c>
      <c r="E210" s="9">
        <v>127707.84566037735</v>
      </c>
      <c r="F210" s="10">
        <v>220000</v>
      </c>
      <c r="G210" s="9">
        <v>-887.4716999999946</v>
      </c>
      <c r="H210" t="s">
        <v>49</v>
      </c>
    </row>
    <row r="211" spans="1:8" x14ac:dyDescent="0.25">
      <c r="A211" s="6" t="s">
        <v>16</v>
      </c>
      <c r="B211" s="7">
        <v>179529.97206999999</v>
      </c>
      <c r="C211" s="8">
        <v>434171.23</v>
      </c>
      <c r="D211" s="9">
        <v>1638.3819999999998</v>
      </c>
      <c r="E211" s="9">
        <v>49151.459999999992</v>
      </c>
      <c r="F211" s="10">
        <v>140000</v>
      </c>
      <c r="G211" s="9">
        <v>-39529.972069999989</v>
      </c>
      <c r="H211" t="s">
        <v>49</v>
      </c>
    </row>
    <row r="212" spans="1:8" x14ac:dyDescent="0.25">
      <c r="A212" s="6" t="s">
        <v>17</v>
      </c>
      <c r="B212" s="7">
        <v>37817.369400000003</v>
      </c>
      <c r="C212" s="8">
        <v>32027.08</v>
      </c>
      <c r="D212" s="9">
        <v>120.85690566037736</v>
      </c>
      <c r="E212" s="9">
        <v>3625.7071698113209</v>
      </c>
      <c r="F212" s="10">
        <v>25000</v>
      </c>
      <c r="G212" s="9">
        <v>-12817.369400000003</v>
      </c>
      <c r="H212" t="s">
        <v>49</v>
      </c>
    </row>
    <row r="213" spans="1:8" x14ac:dyDescent="0.25">
      <c r="A213" s="6" t="s">
        <v>18</v>
      </c>
      <c r="B213" s="7">
        <v>21612.9149</v>
      </c>
      <c r="C213" s="8">
        <v>228439.34</v>
      </c>
      <c r="D213" s="9">
        <v>862.03524528301887</v>
      </c>
      <c r="E213" s="9">
        <v>25861.057358490565</v>
      </c>
      <c r="F213" s="10">
        <v>20000</v>
      </c>
      <c r="G213" s="9">
        <v>-1612.9148999999998</v>
      </c>
      <c r="H213" t="s">
        <v>49</v>
      </c>
    </row>
    <row r="214" spans="1:8" x14ac:dyDescent="0.25">
      <c r="A214" s="6" t="s">
        <v>19</v>
      </c>
      <c r="B214" s="7">
        <v>530.01083600000004</v>
      </c>
      <c r="C214" s="8">
        <v>1145519.6684000001</v>
      </c>
      <c r="D214" s="9">
        <v>4322.7157298113207</v>
      </c>
      <c r="E214" s="9">
        <v>129681.47189433961</v>
      </c>
      <c r="F214" s="10">
        <v>0</v>
      </c>
      <c r="G214" s="9">
        <v>-530.01083600000004</v>
      </c>
      <c r="H214" t="s">
        <v>49</v>
      </c>
    </row>
    <row r="215" spans="1:8" x14ac:dyDescent="0.25">
      <c r="A215" s="6" t="s">
        <v>20</v>
      </c>
      <c r="B215" s="7">
        <v>187214.62088</v>
      </c>
      <c r="C215" s="8">
        <v>201729.28</v>
      </c>
      <c r="D215" s="9">
        <v>761.24256603773586</v>
      </c>
      <c r="E215" s="9">
        <v>22837.276981132076</v>
      </c>
      <c r="F215" s="10">
        <v>120000</v>
      </c>
      <c r="G215" s="9">
        <v>-67214.620880000002</v>
      </c>
      <c r="H215" t="s">
        <v>49</v>
      </c>
    </row>
    <row r="216" spans="1:8" x14ac:dyDescent="0.25">
      <c r="A216" s="6" t="s">
        <v>21</v>
      </c>
      <c r="B216" s="7">
        <v>45895.756999999998</v>
      </c>
      <c r="C216" s="8">
        <v>109656.87</v>
      </c>
      <c r="D216" s="9">
        <v>413.79950943396227</v>
      </c>
      <c r="E216" s="9">
        <v>12413.985283018868</v>
      </c>
      <c r="F216" s="10">
        <v>40000</v>
      </c>
      <c r="G216" s="9">
        <v>-5895.7569999999978</v>
      </c>
      <c r="H216" t="s">
        <v>49</v>
      </c>
    </row>
    <row r="217" spans="1:8" x14ac:dyDescent="0.25">
      <c r="A217" s="6" t="s">
        <v>22</v>
      </c>
      <c r="B217" s="7">
        <v>21528.741675000001</v>
      </c>
      <c r="C217" s="8">
        <v>52183.21</v>
      </c>
      <c r="D217" s="9">
        <v>196.91777358490566</v>
      </c>
      <c r="E217" s="9">
        <v>5907.5332075471697</v>
      </c>
      <c r="F217" s="10">
        <v>15000</v>
      </c>
      <c r="G217" s="9">
        <v>-6528.7416750000011</v>
      </c>
      <c r="H217" t="s">
        <v>49</v>
      </c>
    </row>
    <row r="218" spans="1:8" x14ac:dyDescent="0.25">
      <c r="A218" s="6" t="s">
        <v>23</v>
      </c>
      <c r="B218" s="7">
        <v>78662.542100000006</v>
      </c>
      <c r="C218" s="8">
        <v>153510.81</v>
      </c>
      <c r="D218" s="9">
        <v>579.28607547169815</v>
      </c>
      <c r="E218" s="9">
        <v>17378.582264150944</v>
      </c>
      <c r="F218" s="10">
        <v>75000</v>
      </c>
      <c r="G218" s="9">
        <v>-3662.542100000006</v>
      </c>
      <c r="H218" t="s">
        <v>49</v>
      </c>
    </row>
    <row r="219" spans="1:8" x14ac:dyDescent="0.25">
      <c r="A219" s="6" t="s">
        <v>26</v>
      </c>
      <c r="B219" s="7">
        <v>6524.6459999999997</v>
      </c>
      <c r="C219" s="8">
        <v>9541.76</v>
      </c>
      <c r="D219" s="9">
        <v>36.006641509433962</v>
      </c>
      <c r="E219" s="9">
        <v>1080.1992452830189</v>
      </c>
      <c r="F219" s="10">
        <v>4000</v>
      </c>
      <c r="G219" s="9">
        <v>-2524.6459999999997</v>
      </c>
      <c r="H219" t="s">
        <v>49</v>
      </c>
    </row>
    <row r="220" spans="1:8" x14ac:dyDescent="0.25">
      <c r="A220" s="6" t="s">
        <v>27</v>
      </c>
      <c r="B220" s="7">
        <v>9559.9478999999992</v>
      </c>
      <c r="C220" s="8">
        <v>17692.55</v>
      </c>
      <c r="D220" s="9">
        <v>66.764339622641501</v>
      </c>
      <c r="E220" s="9">
        <v>2002.930188679245</v>
      </c>
      <c r="F220" s="10">
        <v>7000</v>
      </c>
      <c r="G220" s="9">
        <v>-2559.9478999999992</v>
      </c>
      <c r="H220" t="s">
        <v>49</v>
      </c>
    </row>
    <row r="221" spans="1:8" x14ac:dyDescent="0.25">
      <c r="A221" s="6" t="s">
        <v>28</v>
      </c>
      <c r="B221" s="7">
        <v>17468.8658</v>
      </c>
      <c r="C221" s="8">
        <v>36922.86</v>
      </c>
      <c r="D221" s="9">
        <v>139.33154716981133</v>
      </c>
      <c r="E221" s="9">
        <v>4179.9464150943395</v>
      </c>
      <c r="F221" s="10">
        <v>15000</v>
      </c>
      <c r="G221" s="9">
        <v>-2468.8657999999996</v>
      </c>
      <c r="H221" t="s">
        <v>49</v>
      </c>
    </row>
    <row r="222" spans="1:8" x14ac:dyDescent="0.25">
      <c r="A222" s="6" t="s">
        <v>29</v>
      </c>
      <c r="B222" s="7">
        <v>2789.8285999999998</v>
      </c>
      <c r="C222" s="8">
        <v>4785.0200000000004</v>
      </c>
      <c r="D222" s="9">
        <v>18.056679245283021</v>
      </c>
      <c r="E222" s="9">
        <v>541.70037735849064</v>
      </c>
      <c r="F222" s="10">
        <v>0</v>
      </c>
      <c r="G222" s="9">
        <v>-2789.8285999999998</v>
      </c>
      <c r="H222" t="s">
        <v>49</v>
      </c>
    </row>
    <row r="223" spans="1:8" x14ac:dyDescent="0.25">
      <c r="A223" s="6" t="s">
        <v>30</v>
      </c>
      <c r="B223" s="7">
        <v>23518.467731000001</v>
      </c>
      <c r="C223" s="8">
        <v>217749.0589</v>
      </c>
      <c r="D223" s="9">
        <v>821.69456188679248</v>
      </c>
      <c r="E223" s="9">
        <v>24650.836856603775</v>
      </c>
      <c r="F223" s="10">
        <v>23000</v>
      </c>
      <c r="G223" s="9">
        <v>-518.46773100000064</v>
      </c>
      <c r="H223" t="s">
        <v>49</v>
      </c>
    </row>
    <row r="224" spans="1:8" x14ac:dyDescent="0.25">
      <c r="A224" s="6" t="s">
        <v>31</v>
      </c>
      <c r="B224" s="7">
        <v>6449.1469999999999</v>
      </c>
      <c r="C224" s="8">
        <v>47400.13</v>
      </c>
      <c r="D224" s="9">
        <v>178.86841509433961</v>
      </c>
      <c r="E224" s="9">
        <v>5366.0524528301885</v>
      </c>
      <c r="F224" s="10">
        <v>1000</v>
      </c>
      <c r="G224" s="9">
        <v>-5449.1469999999999</v>
      </c>
      <c r="H224" t="s">
        <v>49</v>
      </c>
    </row>
    <row r="225" spans="1:8" x14ac:dyDescent="0.25">
      <c r="A225" s="6" t="s">
        <v>32</v>
      </c>
      <c r="B225" s="7">
        <v>17189.090899999999</v>
      </c>
      <c r="C225" s="8">
        <v>23758.5</v>
      </c>
      <c r="D225" s="9">
        <v>89.654716981132069</v>
      </c>
      <c r="E225" s="9">
        <v>2689.6415094339623</v>
      </c>
      <c r="F225" s="10">
        <v>10000</v>
      </c>
      <c r="G225" s="9">
        <v>-7189.0908999999992</v>
      </c>
      <c r="H225" t="s">
        <v>49</v>
      </c>
    </row>
    <row r="226" spans="1:8" x14ac:dyDescent="0.25">
      <c r="A226" s="6" t="s">
        <v>33</v>
      </c>
      <c r="B226" s="7">
        <v>112.55</v>
      </c>
      <c r="C226" s="8">
        <v>18405.36</v>
      </c>
      <c r="D226" s="9">
        <v>69.454188679245291</v>
      </c>
      <c r="E226" s="9">
        <v>2083.6256603773586</v>
      </c>
      <c r="F226" s="10">
        <v>500</v>
      </c>
      <c r="G226" s="9">
        <v>387.45</v>
      </c>
      <c r="H226" t="s">
        <v>49</v>
      </c>
    </row>
    <row r="227" spans="1:8" x14ac:dyDescent="0.25">
      <c r="A227" s="6" t="s">
        <v>34</v>
      </c>
      <c r="B227" s="7">
        <v>5786.2056000000002</v>
      </c>
      <c r="C227" s="8">
        <v>2353.58</v>
      </c>
      <c r="D227" s="9">
        <v>8.8814339622641505</v>
      </c>
      <c r="E227" s="9">
        <v>266.44301886792454</v>
      </c>
      <c r="F227" s="10">
        <v>1500</v>
      </c>
      <c r="G227" s="9">
        <v>-4286.2056000000002</v>
      </c>
      <c r="H227" t="s">
        <v>49</v>
      </c>
    </row>
    <row r="228" spans="1:8" x14ac:dyDescent="0.25">
      <c r="A228" s="6" t="s">
        <v>35</v>
      </c>
      <c r="B228" s="7">
        <v>540.83249999999998</v>
      </c>
      <c r="C228" s="8">
        <v>877.22</v>
      </c>
      <c r="D228" s="9">
        <v>3.3102641509433965</v>
      </c>
      <c r="E228" s="9">
        <v>99.307924528301896</v>
      </c>
      <c r="F228" s="10">
        <v>0</v>
      </c>
      <c r="G228" s="9">
        <v>-540.83249999999998</v>
      </c>
      <c r="H228" t="s">
        <v>49</v>
      </c>
    </row>
    <row r="229" spans="1:8" x14ac:dyDescent="0.25">
      <c r="A229" s="6" t="s">
        <v>36</v>
      </c>
      <c r="B229" s="7">
        <v>8601.5540000000001</v>
      </c>
      <c r="C229" s="8">
        <v>11527.25</v>
      </c>
      <c r="D229" s="9">
        <v>43.499056603773582</v>
      </c>
      <c r="E229" s="9">
        <v>1304.9716981132074</v>
      </c>
      <c r="F229" s="10">
        <v>8500</v>
      </c>
      <c r="G229" s="9">
        <v>-101.55400000000009</v>
      </c>
      <c r="H229" t="s">
        <v>49</v>
      </c>
    </row>
    <row r="230" spans="1:8" x14ac:dyDescent="0.25">
      <c r="A230" s="6" t="s">
        <v>37</v>
      </c>
      <c r="B230" s="7">
        <v>27804.522000000001</v>
      </c>
      <c r="C230" s="8">
        <v>15524.56</v>
      </c>
      <c r="D230" s="9">
        <v>58.583245283018869</v>
      </c>
      <c r="E230" s="9">
        <v>1757.4973584905661</v>
      </c>
      <c r="F230" s="10">
        <v>15000</v>
      </c>
      <c r="G230" s="9">
        <v>-12804.522000000001</v>
      </c>
      <c r="H230" t="s">
        <v>49</v>
      </c>
    </row>
    <row r="231" spans="1:8" x14ac:dyDescent="0.25">
      <c r="A231" s="15" t="s">
        <v>8</v>
      </c>
      <c r="B231" s="11">
        <v>-3731.3896060000002</v>
      </c>
      <c r="C231" s="12">
        <v>366307.64919999999</v>
      </c>
      <c r="D231" s="9">
        <f>C231/265</f>
        <v>1382.2930158490565</v>
      </c>
      <c r="E231" s="9">
        <f>D231*30</f>
        <v>41468.790475471695</v>
      </c>
      <c r="F231" s="13">
        <v>10000</v>
      </c>
      <c r="G231" s="9">
        <f t="shared" ref="G231:G294" si="19">F231-B231</f>
        <v>13731.389606000001</v>
      </c>
      <c r="H231" t="s">
        <v>50</v>
      </c>
    </row>
    <row r="232" spans="1:8" x14ac:dyDescent="0.25">
      <c r="A232" s="15" t="s">
        <v>10</v>
      </c>
      <c r="B232" s="11">
        <v>36530.909</v>
      </c>
      <c r="C232" s="12">
        <v>460783.93</v>
      </c>
      <c r="D232" s="9">
        <f t="shared" ref="D232:D256" si="20">C232/265</f>
        <v>1738.8072830188678</v>
      </c>
      <c r="E232" s="9">
        <f t="shared" ref="E232:E256" si="21">D232*30</f>
        <v>52164.218490566032</v>
      </c>
      <c r="F232" s="13">
        <v>38000</v>
      </c>
      <c r="G232" s="9">
        <f t="shared" si="19"/>
        <v>1469.0910000000003</v>
      </c>
      <c r="H232" t="s">
        <v>50</v>
      </c>
    </row>
    <row r="233" spans="1:8" x14ac:dyDescent="0.25">
      <c r="A233" s="15" t="s">
        <v>11</v>
      </c>
      <c r="B233" s="11">
        <v>5548.6902870000004</v>
      </c>
      <c r="C233" s="12">
        <v>931660.61219999997</v>
      </c>
      <c r="D233" s="9">
        <f t="shared" si="20"/>
        <v>3515.7004233962261</v>
      </c>
      <c r="E233" s="9">
        <f t="shared" si="21"/>
        <v>105471.01270188678</v>
      </c>
      <c r="F233" s="13">
        <v>4000</v>
      </c>
      <c r="G233" s="9">
        <f t="shared" si="19"/>
        <v>-1548.6902870000004</v>
      </c>
      <c r="H233" t="s">
        <v>50</v>
      </c>
    </row>
    <row r="234" spans="1:8" x14ac:dyDescent="0.25">
      <c r="A234" s="15" t="s">
        <v>12</v>
      </c>
      <c r="B234" s="11">
        <v>51177.367999000002</v>
      </c>
      <c r="C234" s="12">
        <v>1336091.25</v>
      </c>
      <c r="D234" s="9">
        <f t="shared" si="20"/>
        <v>5041.8537735849059</v>
      </c>
      <c r="E234" s="9">
        <f t="shared" si="21"/>
        <v>151255.61320754717</v>
      </c>
      <c r="F234" s="13">
        <v>55000</v>
      </c>
      <c r="G234" s="9">
        <f t="shared" si="19"/>
        <v>3822.6320009999981</v>
      </c>
      <c r="H234" t="s">
        <v>50</v>
      </c>
    </row>
    <row r="235" spans="1:8" x14ac:dyDescent="0.25">
      <c r="A235" s="15" t="s">
        <v>13</v>
      </c>
      <c r="B235" s="11">
        <v>18289.7336</v>
      </c>
      <c r="C235" s="12">
        <v>35611.160000000003</v>
      </c>
      <c r="D235" s="9">
        <f t="shared" si="20"/>
        <v>134.38173584905661</v>
      </c>
      <c r="E235" s="9">
        <f t="shared" si="21"/>
        <v>4031.4520754716982</v>
      </c>
      <c r="F235" s="13">
        <v>12000</v>
      </c>
      <c r="G235" s="9">
        <f t="shared" si="19"/>
        <v>-6289.7335999999996</v>
      </c>
      <c r="H235" t="s">
        <v>50</v>
      </c>
    </row>
    <row r="236" spans="1:8" x14ac:dyDescent="0.25">
      <c r="A236" s="15" t="s">
        <v>14</v>
      </c>
      <c r="B236" s="11">
        <v>1219.4591190000001</v>
      </c>
      <c r="C236" s="12">
        <v>479664.11</v>
      </c>
      <c r="D236" s="9">
        <f t="shared" si="20"/>
        <v>1810.0532452830189</v>
      </c>
      <c r="E236" s="9">
        <f t="shared" si="21"/>
        <v>54301.597358490566</v>
      </c>
      <c r="F236" s="13">
        <v>1200</v>
      </c>
      <c r="G236" s="9">
        <f t="shared" si="19"/>
        <v>-19.459119000000101</v>
      </c>
      <c r="H236" t="s">
        <v>50</v>
      </c>
    </row>
    <row r="237" spans="1:8" x14ac:dyDescent="0.25">
      <c r="A237" s="15" t="s">
        <v>15</v>
      </c>
      <c r="B237" s="11">
        <v>399178.26980000001</v>
      </c>
      <c r="C237" s="12">
        <v>2721558.55</v>
      </c>
      <c r="D237" s="9">
        <f t="shared" si="20"/>
        <v>10270.032264150943</v>
      </c>
      <c r="E237" s="9">
        <f t="shared" si="21"/>
        <v>308100.96792452829</v>
      </c>
      <c r="F237" s="13">
        <v>400000</v>
      </c>
      <c r="G237" s="9">
        <f t="shared" si="19"/>
        <v>821.73019999999087</v>
      </c>
      <c r="H237" t="s">
        <v>50</v>
      </c>
    </row>
    <row r="238" spans="1:8" x14ac:dyDescent="0.25">
      <c r="A238" s="15" t="s">
        <v>16</v>
      </c>
      <c r="B238" s="11">
        <v>269236.37640000001</v>
      </c>
      <c r="C238" s="12">
        <v>832669.62</v>
      </c>
      <c r="D238" s="9">
        <f t="shared" si="20"/>
        <v>3142.1495094339621</v>
      </c>
      <c r="E238" s="9">
        <f t="shared" si="21"/>
        <v>94264.485283018861</v>
      </c>
      <c r="F238" s="13">
        <v>240000</v>
      </c>
      <c r="G238" s="9">
        <f t="shared" si="19"/>
        <v>-29236.376400000008</v>
      </c>
      <c r="H238" t="s">
        <v>50</v>
      </c>
    </row>
    <row r="239" spans="1:8" x14ac:dyDescent="0.25">
      <c r="A239" s="15" t="s">
        <v>17</v>
      </c>
      <c r="B239" s="11">
        <v>616.27560000000005</v>
      </c>
      <c r="C239" s="12">
        <v>10291.69</v>
      </c>
      <c r="D239" s="9">
        <f t="shared" si="20"/>
        <v>38.836566037735849</v>
      </c>
      <c r="E239" s="9">
        <f t="shared" si="21"/>
        <v>1165.0969811320756</v>
      </c>
      <c r="F239" s="13">
        <v>1000</v>
      </c>
      <c r="G239" s="9">
        <f t="shared" si="19"/>
        <v>383.72439999999995</v>
      </c>
      <c r="H239" t="s">
        <v>50</v>
      </c>
    </row>
    <row r="240" spans="1:8" x14ac:dyDescent="0.25">
      <c r="A240" s="15" t="s">
        <v>18</v>
      </c>
      <c r="B240" s="11">
        <v>47094.240626999999</v>
      </c>
      <c r="C240" s="12">
        <v>412239.33</v>
      </c>
      <c r="D240" s="9">
        <f t="shared" si="20"/>
        <v>1555.6201132075473</v>
      </c>
      <c r="E240" s="9">
        <f t="shared" si="21"/>
        <v>46668.603396226419</v>
      </c>
      <c r="F240" s="13">
        <v>50000</v>
      </c>
      <c r="G240" s="9">
        <f t="shared" si="19"/>
        <v>2905.7593730000008</v>
      </c>
      <c r="H240" t="s">
        <v>50</v>
      </c>
    </row>
    <row r="241" spans="1:8" x14ac:dyDescent="0.25">
      <c r="A241" s="15" t="s">
        <v>19</v>
      </c>
      <c r="B241" s="11">
        <v>-36.345199999999998</v>
      </c>
      <c r="C241" s="12">
        <v>2842261.04</v>
      </c>
      <c r="D241" s="9">
        <f t="shared" si="20"/>
        <v>10725.513358490567</v>
      </c>
      <c r="E241" s="9">
        <f t="shared" si="21"/>
        <v>321765.400754717</v>
      </c>
      <c r="F241" s="13">
        <v>0</v>
      </c>
      <c r="G241" s="9">
        <f t="shared" si="19"/>
        <v>36.345199999999998</v>
      </c>
      <c r="H241" t="s">
        <v>50</v>
      </c>
    </row>
    <row r="242" spans="1:8" x14ac:dyDescent="0.25">
      <c r="A242" s="15" t="s">
        <v>20</v>
      </c>
      <c r="B242" s="11">
        <v>4456.2617</v>
      </c>
      <c r="C242" s="12">
        <v>10272.379999999999</v>
      </c>
      <c r="D242" s="9">
        <f t="shared" si="20"/>
        <v>38.763698113207546</v>
      </c>
      <c r="E242" s="9">
        <f t="shared" si="21"/>
        <v>1162.9109433962265</v>
      </c>
      <c r="F242" s="13">
        <v>4300</v>
      </c>
      <c r="G242" s="9">
        <f t="shared" si="19"/>
        <v>-156.26170000000002</v>
      </c>
      <c r="H242" t="s">
        <v>50</v>
      </c>
    </row>
    <row r="243" spans="1:8" x14ac:dyDescent="0.25">
      <c r="A243" s="15" t="s">
        <v>21</v>
      </c>
      <c r="B243" s="11">
        <v>11737.8254</v>
      </c>
      <c r="C243" s="12">
        <v>20259.52</v>
      </c>
      <c r="D243" s="9">
        <f t="shared" si="20"/>
        <v>76.451018867924532</v>
      </c>
      <c r="E243" s="9">
        <f t="shared" si="21"/>
        <v>2293.5305660377358</v>
      </c>
      <c r="F243" s="13">
        <v>6000</v>
      </c>
      <c r="G243" s="9">
        <f t="shared" si="19"/>
        <v>-5737.8253999999997</v>
      </c>
      <c r="H243" t="s">
        <v>50</v>
      </c>
    </row>
    <row r="244" spans="1:8" x14ac:dyDescent="0.25">
      <c r="A244" s="15" t="s">
        <v>22</v>
      </c>
      <c r="B244" s="11">
        <v>5902.4822000000004</v>
      </c>
      <c r="C244" s="12">
        <v>26492.560000000001</v>
      </c>
      <c r="D244" s="9">
        <f t="shared" si="20"/>
        <v>99.971924528301898</v>
      </c>
      <c r="E244" s="9">
        <f t="shared" si="21"/>
        <v>2999.1577358490567</v>
      </c>
      <c r="F244" s="13">
        <v>6000</v>
      </c>
      <c r="G244" s="9">
        <f t="shared" si="19"/>
        <v>97.517799999999625</v>
      </c>
      <c r="H244" t="s">
        <v>50</v>
      </c>
    </row>
    <row r="245" spans="1:8" x14ac:dyDescent="0.25">
      <c r="A245" s="15" t="s">
        <v>23</v>
      </c>
      <c r="B245" s="11">
        <v>101623.787291</v>
      </c>
      <c r="C245" s="12">
        <v>358583.29</v>
      </c>
      <c r="D245" s="9">
        <f t="shared" si="20"/>
        <v>1353.1444905660376</v>
      </c>
      <c r="E245" s="9">
        <f t="shared" si="21"/>
        <v>40594.334716981124</v>
      </c>
      <c r="F245" s="13">
        <v>85000</v>
      </c>
      <c r="G245" s="9">
        <f t="shared" si="19"/>
        <v>-16623.787291000001</v>
      </c>
      <c r="H245" t="s">
        <v>50</v>
      </c>
    </row>
    <row r="246" spans="1:8" x14ac:dyDescent="0.25">
      <c r="A246" s="15" t="s">
        <v>26</v>
      </c>
      <c r="B246" s="11">
        <v>10701.939399999999</v>
      </c>
      <c r="C246" s="12">
        <v>23220.6</v>
      </c>
      <c r="D246" s="9">
        <f t="shared" si="20"/>
        <v>87.624905660377351</v>
      </c>
      <c r="E246" s="9">
        <f t="shared" si="21"/>
        <v>2628.7471698113204</v>
      </c>
      <c r="F246" s="13">
        <v>6000</v>
      </c>
      <c r="G246" s="9">
        <f t="shared" si="19"/>
        <v>-4701.9393999999993</v>
      </c>
      <c r="H246" t="s">
        <v>50</v>
      </c>
    </row>
    <row r="247" spans="1:8" x14ac:dyDescent="0.25">
      <c r="A247" s="15" t="s">
        <v>27</v>
      </c>
      <c r="B247" s="11">
        <v>1023.32</v>
      </c>
      <c r="C247" s="12">
        <v>10315.44</v>
      </c>
      <c r="D247" s="9">
        <f t="shared" si="20"/>
        <v>38.926188679245286</v>
      </c>
      <c r="E247" s="9">
        <f t="shared" si="21"/>
        <v>1167.7856603773585</v>
      </c>
      <c r="F247" s="13">
        <v>3000</v>
      </c>
      <c r="G247" s="9">
        <f t="shared" si="19"/>
        <v>1976.6799999999998</v>
      </c>
      <c r="H247" t="s">
        <v>50</v>
      </c>
    </row>
    <row r="248" spans="1:8" x14ac:dyDescent="0.25">
      <c r="A248" s="15" t="s">
        <v>28</v>
      </c>
      <c r="B248" s="11">
        <v>18744.667099999999</v>
      </c>
      <c r="C248" s="12">
        <v>37258.36</v>
      </c>
      <c r="D248" s="9">
        <f t="shared" si="20"/>
        <v>140.59758490566037</v>
      </c>
      <c r="E248" s="9">
        <f t="shared" si="21"/>
        <v>4217.9275471698111</v>
      </c>
      <c r="F248" s="13">
        <v>10000</v>
      </c>
      <c r="G248" s="9">
        <f t="shared" si="19"/>
        <v>-8744.6670999999988</v>
      </c>
      <c r="H248" t="s">
        <v>50</v>
      </c>
    </row>
    <row r="249" spans="1:8" x14ac:dyDescent="0.25">
      <c r="A249" s="15" t="s">
        <v>29</v>
      </c>
      <c r="B249" s="11">
        <v>18</v>
      </c>
      <c r="C249" s="12">
        <v>0.95</v>
      </c>
      <c r="D249" s="9">
        <f t="shared" si="20"/>
        <v>3.5849056603773585E-3</v>
      </c>
      <c r="E249" s="9">
        <f t="shared" si="21"/>
        <v>0.10754716981132076</v>
      </c>
      <c r="F249" s="13">
        <v>0</v>
      </c>
      <c r="G249" s="9">
        <f t="shared" si="19"/>
        <v>-18</v>
      </c>
      <c r="H249" t="s">
        <v>50</v>
      </c>
    </row>
    <row r="250" spans="1:8" x14ac:dyDescent="0.25">
      <c r="A250" s="15" t="s">
        <v>30</v>
      </c>
      <c r="B250" s="11">
        <v>21128.424438999999</v>
      </c>
      <c r="C250" s="12">
        <v>503275.67680000002</v>
      </c>
      <c r="D250" s="9">
        <f t="shared" si="20"/>
        <v>1899.1534973584905</v>
      </c>
      <c r="E250" s="9">
        <f t="shared" si="21"/>
        <v>56974.604920754718</v>
      </c>
      <c r="F250" s="13">
        <v>27000</v>
      </c>
      <c r="G250" s="9">
        <f t="shared" si="19"/>
        <v>5871.5755610000015</v>
      </c>
      <c r="H250" t="s">
        <v>50</v>
      </c>
    </row>
    <row r="251" spans="1:8" x14ac:dyDescent="0.25">
      <c r="A251" s="15" t="s">
        <v>31</v>
      </c>
      <c r="B251" s="11">
        <v>4378.2957999999999</v>
      </c>
      <c r="C251" s="12">
        <v>65228.06</v>
      </c>
      <c r="D251" s="9">
        <f t="shared" si="20"/>
        <v>246.14362264150944</v>
      </c>
      <c r="E251" s="9">
        <f t="shared" si="21"/>
        <v>7384.3086792452832</v>
      </c>
      <c r="F251" s="13">
        <v>1000</v>
      </c>
      <c r="G251" s="9">
        <f t="shared" si="19"/>
        <v>-3378.2957999999999</v>
      </c>
      <c r="H251" t="s">
        <v>50</v>
      </c>
    </row>
    <row r="252" spans="1:8" x14ac:dyDescent="0.25">
      <c r="A252" s="15" t="s">
        <v>32</v>
      </c>
      <c r="B252" s="11">
        <v>16901.083299999998</v>
      </c>
      <c r="C252" s="12">
        <v>55410.400000000001</v>
      </c>
      <c r="D252" s="9">
        <f t="shared" si="20"/>
        <v>209.09584905660378</v>
      </c>
      <c r="E252" s="9">
        <f t="shared" si="21"/>
        <v>6272.8754716981139</v>
      </c>
      <c r="F252" s="13">
        <v>15000</v>
      </c>
      <c r="G252" s="9">
        <f t="shared" si="19"/>
        <v>-1901.0832999999984</v>
      </c>
      <c r="H252" t="s">
        <v>50</v>
      </c>
    </row>
    <row r="253" spans="1:8" x14ac:dyDescent="0.25">
      <c r="A253" s="15" t="s">
        <v>33</v>
      </c>
      <c r="B253" s="11">
        <v>665.75</v>
      </c>
      <c r="C253" s="12">
        <v>55788.84</v>
      </c>
      <c r="D253" s="9">
        <f t="shared" si="20"/>
        <v>210.52392452830188</v>
      </c>
      <c r="E253" s="9">
        <f t="shared" si="21"/>
        <v>6315.7177358490562</v>
      </c>
      <c r="F253" s="13">
        <v>1000</v>
      </c>
      <c r="G253" s="9">
        <f t="shared" si="19"/>
        <v>334.25</v>
      </c>
      <c r="H253" t="s">
        <v>50</v>
      </c>
    </row>
    <row r="254" spans="1:8" x14ac:dyDescent="0.25">
      <c r="A254" s="15" t="s">
        <v>34</v>
      </c>
      <c r="B254" s="11">
        <v>13</v>
      </c>
      <c r="C254" s="12">
        <v>600.01</v>
      </c>
      <c r="D254" s="9">
        <f t="shared" si="20"/>
        <v>2.264188679245283</v>
      </c>
      <c r="E254" s="9">
        <f t="shared" si="21"/>
        <v>67.925660377358497</v>
      </c>
      <c r="F254" s="13">
        <v>0</v>
      </c>
      <c r="G254" s="9">
        <f t="shared" si="19"/>
        <v>-13</v>
      </c>
      <c r="H254" t="s">
        <v>50</v>
      </c>
    </row>
    <row r="255" spans="1:8" x14ac:dyDescent="0.25">
      <c r="A255" s="15" t="s">
        <v>35</v>
      </c>
      <c r="B255" s="11">
        <v>32572.134999999998</v>
      </c>
      <c r="C255" s="12">
        <v>307892.32</v>
      </c>
      <c r="D255" s="9">
        <f t="shared" si="20"/>
        <v>1161.8578113207548</v>
      </c>
      <c r="E255" s="9">
        <f t="shared" si="21"/>
        <v>34855.734339622642</v>
      </c>
      <c r="F255" s="13">
        <v>20000</v>
      </c>
      <c r="G255" s="9">
        <f t="shared" si="19"/>
        <v>-12572.134999999998</v>
      </c>
      <c r="H255" t="s">
        <v>50</v>
      </c>
    </row>
    <row r="256" spans="1:8" x14ac:dyDescent="0.25">
      <c r="A256" s="15" t="s">
        <v>36</v>
      </c>
      <c r="B256" s="11">
        <v>4445.5793000000003</v>
      </c>
      <c r="C256" s="12">
        <v>12177.68</v>
      </c>
      <c r="D256" s="9">
        <f t="shared" si="20"/>
        <v>45.953509433962267</v>
      </c>
      <c r="E256" s="9">
        <f t="shared" si="21"/>
        <v>1378.605283018868</v>
      </c>
      <c r="F256" s="13">
        <v>4000</v>
      </c>
      <c r="G256" s="9">
        <f t="shared" si="19"/>
        <v>-445.57930000000033</v>
      </c>
      <c r="H256" t="s">
        <v>50</v>
      </c>
    </row>
    <row r="257" spans="1:8" x14ac:dyDescent="0.25">
      <c r="A257" s="15" t="s">
        <v>37</v>
      </c>
      <c r="B257" s="11">
        <v>662</v>
      </c>
      <c r="C257" s="12">
        <v>928.79</v>
      </c>
      <c r="D257" s="9">
        <f>C257/265</f>
        <v>3.5048679245283019</v>
      </c>
      <c r="E257" s="9">
        <f>D257*30</f>
        <v>105.14603773584906</v>
      </c>
      <c r="F257" s="13">
        <v>500</v>
      </c>
      <c r="G257" s="9">
        <f t="shared" si="19"/>
        <v>-162</v>
      </c>
      <c r="H257" t="s">
        <v>50</v>
      </c>
    </row>
    <row r="258" spans="1:8" x14ac:dyDescent="0.25">
      <c r="A258" s="15" t="s">
        <v>8</v>
      </c>
      <c r="B258" s="11">
        <v>4669.3824000000004</v>
      </c>
      <c r="C258" s="12">
        <v>263382.44</v>
      </c>
      <c r="D258" s="9">
        <f>C258/265</f>
        <v>993.89599999999996</v>
      </c>
      <c r="E258" s="9">
        <f>D258*30</f>
        <v>29816.879999999997</v>
      </c>
      <c r="F258" s="13">
        <v>4500</v>
      </c>
      <c r="G258" s="9">
        <f t="shared" si="19"/>
        <v>-169.38240000000042</v>
      </c>
      <c r="H258" t="s">
        <v>51</v>
      </c>
    </row>
    <row r="259" spans="1:8" x14ac:dyDescent="0.25">
      <c r="A259" s="15" t="s">
        <v>10</v>
      </c>
      <c r="B259" s="11">
        <v>27309.629300000001</v>
      </c>
      <c r="C259" s="12">
        <v>463367.96</v>
      </c>
      <c r="D259" s="9">
        <f t="shared" ref="D259:D283" si="22">C259/265</f>
        <v>1748.5583396226416</v>
      </c>
      <c r="E259" s="9">
        <f t="shared" ref="E259:E283" si="23">D259*30</f>
        <v>52456.750188679245</v>
      </c>
      <c r="F259" s="13">
        <v>22000</v>
      </c>
      <c r="G259" s="9">
        <f t="shared" si="19"/>
        <v>-5309.6293000000005</v>
      </c>
      <c r="H259" t="s">
        <v>51</v>
      </c>
    </row>
    <row r="260" spans="1:8" x14ac:dyDescent="0.25">
      <c r="A260" s="15" t="s">
        <v>11</v>
      </c>
      <c r="B260" s="11">
        <v>5718.2087270000002</v>
      </c>
      <c r="C260" s="12">
        <v>856961.39780000004</v>
      </c>
      <c r="D260" s="9">
        <f t="shared" si="22"/>
        <v>3233.8165954716983</v>
      </c>
      <c r="E260" s="9">
        <f t="shared" si="23"/>
        <v>97014.497864150952</v>
      </c>
      <c r="F260" s="13">
        <v>4000</v>
      </c>
      <c r="G260" s="9">
        <f t="shared" si="19"/>
        <v>-1718.2087270000002</v>
      </c>
      <c r="H260" t="s">
        <v>51</v>
      </c>
    </row>
    <row r="261" spans="1:8" x14ac:dyDescent="0.25">
      <c r="A261" s="15" t="s">
        <v>12</v>
      </c>
      <c r="B261" s="11">
        <v>19803.753000000001</v>
      </c>
      <c r="C261" s="12">
        <v>627225.81999999995</v>
      </c>
      <c r="D261" s="9">
        <f t="shared" si="22"/>
        <v>2366.8898867924527</v>
      </c>
      <c r="E261" s="9">
        <f t="shared" si="23"/>
        <v>71006.696603773584</v>
      </c>
      <c r="F261" s="13">
        <v>15000</v>
      </c>
      <c r="G261" s="9">
        <f t="shared" si="19"/>
        <v>-4803.7530000000006</v>
      </c>
      <c r="H261" t="s">
        <v>51</v>
      </c>
    </row>
    <row r="262" spans="1:8" x14ac:dyDescent="0.25">
      <c r="A262" s="15" t="s">
        <v>13</v>
      </c>
      <c r="B262" s="11">
        <v>22232.820599999999</v>
      </c>
      <c r="C262" s="12">
        <v>21055.31</v>
      </c>
      <c r="D262" s="9">
        <f t="shared" si="22"/>
        <v>79.454000000000008</v>
      </c>
      <c r="E262" s="9">
        <f t="shared" si="23"/>
        <v>2383.6200000000003</v>
      </c>
      <c r="F262" s="13">
        <v>10000</v>
      </c>
      <c r="G262" s="9">
        <f t="shared" si="19"/>
        <v>-12232.820599999999</v>
      </c>
      <c r="H262" t="s">
        <v>51</v>
      </c>
    </row>
    <row r="263" spans="1:8" x14ac:dyDescent="0.25">
      <c r="A263" s="15" t="s">
        <v>14</v>
      </c>
      <c r="B263" s="11">
        <v>2213.9641369999999</v>
      </c>
      <c r="C263" s="12">
        <v>492799.4975</v>
      </c>
      <c r="D263" s="9">
        <f t="shared" si="22"/>
        <v>1859.6207452830188</v>
      </c>
      <c r="E263" s="9">
        <f t="shared" si="23"/>
        <v>55788.62235849056</v>
      </c>
      <c r="F263" s="13">
        <v>2000</v>
      </c>
      <c r="G263" s="9">
        <f t="shared" si="19"/>
        <v>-213.96413699999994</v>
      </c>
      <c r="H263" t="s">
        <v>51</v>
      </c>
    </row>
    <row r="264" spans="1:8" x14ac:dyDescent="0.25">
      <c r="A264" s="15" t="s">
        <v>15</v>
      </c>
      <c r="B264" s="11">
        <v>286698.14939999999</v>
      </c>
      <c r="C264" s="12">
        <v>1651361.59</v>
      </c>
      <c r="D264" s="9">
        <f t="shared" si="22"/>
        <v>6231.5531698113209</v>
      </c>
      <c r="E264" s="9">
        <f t="shared" si="23"/>
        <v>186946.59509433963</v>
      </c>
      <c r="F264" s="13">
        <v>190000</v>
      </c>
      <c r="G264" s="9">
        <f t="shared" si="19"/>
        <v>-96698.149399999995</v>
      </c>
      <c r="H264" t="s">
        <v>51</v>
      </c>
    </row>
    <row r="265" spans="1:8" x14ac:dyDescent="0.25">
      <c r="A265" s="15" t="s">
        <v>16</v>
      </c>
      <c r="B265" s="11">
        <v>250686.64129999999</v>
      </c>
      <c r="C265" s="12">
        <v>494296.03</v>
      </c>
      <c r="D265" s="9">
        <f t="shared" si="22"/>
        <v>1865.2680377358492</v>
      </c>
      <c r="E265" s="9">
        <f t="shared" si="23"/>
        <v>55958.041132075479</v>
      </c>
      <c r="F265" s="13">
        <v>150000</v>
      </c>
      <c r="G265" s="9">
        <f t="shared" si="19"/>
        <v>-100686.64129999999</v>
      </c>
      <c r="H265" t="s">
        <v>51</v>
      </c>
    </row>
    <row r="266" spans="1:8" x14ac:dyDescent="0.25">
      <c r="A266" s="15" t="s">
        <v>17</v>
      </c>
      <c r="B266" s="11">
        <v>268.65719999999999</v>
      </c>
      <c r="C266" s="12">
        <v>1491.24</v>
      </c>
      <c r="D266" s="9">
        <f t="shared" si="22"/>
        <v>5.6273207547169815</v>
      </c>
      <c r="E266" s="9">
        <f t="shared" si="23"/>
        <v>168.81962264150945</v>
      </c>
      <c r="F266" s="13">
        <v>1000</v>
      </c>
      <c r="G266" s="9">
        <f t="shared" si="19"/>
        <v>731.34280000000001</v>
      </c>
      <c r="H266" t="s">
        <v>51</v>
      </c>
    </row>
    <row r="267" spans="1:8" x14ac:dyDescent="0.25">
      <c r="A267" s="15" t="s">
        <v>18</v>
      </c>
      <c r="B267" s="11">
        <v>54304.825700000001</v>
      </c>
      <c r="C267" s="12">
        <v>257143.36</v>
      </c>
      <c r="D267" s="9">
        <f t="shared" si="22"/>
        <v>970.35230188679236</v>
      </c>
      <c r="E267" s="9">
        <f t="shared" si="23"/>
        <v>29110.56905660377</v>
      </c>
      <c r="F267" s="13">
        <v>35000</v>
      </c>
      <c r="G267" s="9">
        <f t="shared" si="19"/>
        <v>-19304.825700000001</v>
      </c>
      <c r="H267" t="s">
        <v>51</v>
      </c>
    </row>
    <row r="268" spans="1:8" x14ac:dyDescent="0.25">
      <c r="A268" s="15" t="s">
        <v>19</v>
      </c>
      <c r="B268" s="11">
        <v>-62.085994999999997</v>
      </c>
      <c r="C268" s="12">
        <v>1453868.3239</v>
      </c>
      <c r="D268" s="9">
        <f t="shared" si="22"/>
        <v>5486.2955618867927</v>
      </c>
      <c r="E268" s="9">
        <f t="shared" si="23"/>
        <v>164588.86685660377</v>
      </c>
      <c r="F268" s="13">
        <v>0</v>
      </c>
      <c r="G268" s="9">
        <f t="shared" si="19"/>
        <v>62.085994999999997</v>
      </c>
      <c r="H268" t="s">
        <v>51</v>
      </c>
    </row>
    <row r="269" spans="1:8" x14ac:dyDescent="0.25">
      <c r="A269" s="15" t="s">
        <v>20</v>
      </c>
      <c r="B269" s="11">
        <v>8985.6949999999997</v>
      </c>
      <c r="C269" s="12">
        <v>8903.06</v>
      </c>
      <c r="D269" s="9">
        <f t="shared" si="22"/>
        <v>33.596452830188674</v>
      </c>
      <c r="E269" s="9">
        <f t="shared" si="23"/>
        <v>1007.8935849056602</v>
      </c>
      <c r="F269" s="13">
        <v>5000</v>
      </c>
      <c r="G269" s="9">
        <f t="shared" si="19"/>
        <v>-3985.6949999999997</v>
      </c>
      <c r="H269" t="s">
        <v>51</v>
      </c>
    </row>
    <row r="270" spans="1:8" x14ac:dyDescent="0.25">
      <c r="A270" s="15" t="s">
        <v>21</v>
      </c>
      <c r="B270" s="11">
        <v>13615.8192</v>
      </c>
      <c r="C270" s="12">
        <v>37645.1</v>
      </c>
      <c r="D270" s="9">
        <f t="shared" si="22"/>
        <v>142.05698113207546</v>
      </c>
      <c r="E270" s="9">
        <f t="shared" si="23"/>
        <v>4261.7094339622636</v>
      </c>
      <c r="F270" s="13">
        <v>10000</v>
      </c>
      <c r="G270" s="9">
        <f t="shared" si="19"/>
        <v>-3615.8191999999999</v>
      </c>
      <c r="H270" t="s">
        <v>51</v>
      </c>
    </row>
    <row r="271" spans="1:8" x14ac:dyDescent="0.25">
      <c r="A271" s="15" t="s">
        <v>22</v>
      </c>
      <c r="B271" s="11">
        <v>4399.3746000000001</v>
      </c>
      <c r="C271" s="12">
        <v>11507.36</v>
      </c>
      <c r="D271" s="9">
        <f t="shared" si="22"/>
        <v>43.423999999999999</v>
      </c>
      <c r="E271" s="9">
        <f t="shared" si="23"/>
        <v>1302.72</v>
      </c>
      <c r="F271" s="13">
        <v>2000</v>
      </c>
      <c r="G271" s="9">
        <f t="shared" si="19"/>
        <v>-2399.3746000000001</v>
      </c>
      <c r="H271" t="s">
        <v>51</v>
      </c>
    </row>
    <row r="272" spans="1:8" x14ac:dyDescent="0.25">
      <c r="A272" s="15" t="s">
        <v>23</v>
      </c>
      <c r="B272" s="11">
        <v>59025.352650000001</v>
      </c>
      <c r="C272" s="12">
        <v>175924.25</v>
      </c>
      <c r="D272" s="9">
        <f t="shared" si="22"/>
        <v>663.8650943396226</v>
      </c>
      <c r="E272" s="9">
        <f t="shared" si="23"/>
        <v>19915.952830188678</v>
      </c>
      <c r="F272" s="13">
        <v>40000</v>
      </c>
      <c r="G272" s="9">
        <f t="shared" si="19"/>
        <v>-19025.352650000001</v>
      </c>
      <c r="H272" t="s">
        <v>51</v>
      </c>
    </row>
    <row r="273" spans="1:8" x14ac:dyDescent="0.25">
      <c r="A273" s="15" t="s">
        <v>26</v>
      </c>
      <c r="B273" s="11">
        <v>7184.5645999999997</v>
      </c>
      <c r="C273" s="12">
        <v>6195.79</v>
      </c>
      <c r="D273" s="9">
        <f t="shared" si="22"/>
        <v>23.380339622641511</v>
      </c>
      <c r="E273" s="9">
        <f t="shared" si="23"/>
        <v>701.41018867924538</v>
      </c>
      <c r="F273" s="13">
        <v>2000</v>
      </c>
      <c r="G273" s="9">
        <f t="shared" si="19"/>
        <v>-5184.5645999999997</v>
      </c>
      <c r="H273" t="s">
        <v>51</v>
      </c>
    </row>
    <row r="274" spans="1:8" x14ac:dyDescent="0.25">
      <c r="A274" s="15" t="s">
        <v>27</v>
      </c>
      <c r="B274" s="11">
        <v>2435.7617</v>
      </c>
      <c r="C274" s="12">
        <v>15339.27</v>
      </c>
      <c r="D274" s="9">
        <f t="shared" si="22"/>
        <v>57.884037735849056</v>
      </c>
      <c r="E274" s="9">
        <f t="shared" si="23"/>
        <v>1736.5211320754718</v>
      </c>
      <c r="F274" s="13">
        <v>3000</v>
      </c>
      <c r="G274" s="9">
        <f t="shared" si="19"/>
        <v>564.23829999999998</v>
      </c>
      <c r="H274" t="s">
        <v>51</v>
      </c>
    </row>
    <row r="275" spans="1:8" x14ac:dyDescent="0.25">
      <c r="A275" s="15" t="s">
        <v>28</v>
      </c>
      <c r="B275" s="11">
        <v>15283.145084</v>
      </c>
      <c r="C275" s="12">
        <v>29373.63</v>
      </c>
      <c r="D275" s="9">
        <f t="shared" si="22"/>
        <v>110.84388679245284</v>
      </c>
      <c r="E275" s="9">
        <f t="shared" si="23"/>
        <v>3325.316603773585</v>
      </c>
      <c r="F275" s="13">
        <v>6000</v>
      </c>
      <c r="G275" s="9">
        <f t="shared" si="19"/>
        <v>-9283.1450839999998</v>
      </c>
      <c r="H275" t="s">
        <v>51</v>
      </c>
    </row>
    <row r="276" spans="1:8" x14ac:dyDescent="0.25">
      <c r="A276" s="15" t="s">
        <v>29</v>
      </c>
      <c r="B276" s="11">
        <v>29</v>
      </c>
      <c r="C276" s="12">
        <v>95.54</v>
      </c>
      <c r="D276" s="9">
        <f t="shared" si="22"/>
        <v>0.36052830188679247</v>
      </c>
      <c r="E276" s="9">
        <f t="shared" si="23"/>
        <v>10.815849056603774</v>
      </c>
      <c r="F276" s="13">
        <v>0</v>
      </c>
      <c r="G276" s="9">
        <f t="shared" si="19"/>
        <v>-29</v>
      </c>
      <c r="H276" t="s">
        <v>51</v>
      </c>
    </row>
    <row r="277" spans="1:8" x14ac:dyDescent="0.25">
      <c r="A277" s="15" t="s">
        <v>30</v>
      </c>
      <c r="B277" s="11">
        <v>17963.351129999999</v>
      </c>
      <c r="C277" s="12">
        <v>398130.09860000003</v>
      </c>
      <c r="D277" s="9">
        <f t="shared" si="22"/>
        <v>1502.3777305660378</v>
      </c>
      <c r="E277" s="9">
        <f t="shared" si="23"/>
        <v>45071.331916981137</v>
      </c>
      <c r="F277" s="13">
        <v>20000</v>
      </c>
      <c r="G277" s="9">
        <f t="shared" si="19"/>
        <v>2036.6488700000009</v>
      </c>
      <c r="H277" t="s">
        <v>51</v>
      </c>
    </row>
    <row r="278" spans="1:8" x14ac:dyDescent="0.25">
      <c r="A278" s="15" t="s">
        <v>31</v>
      </c>
      <c r="B278" s="11">
        <v>2436.7206000000001</v>
      </c>
      <c r="C278" s="12">
        <v>65605.919999999998</v>
      </c>
      <c r="D278" s="9">
        <f t="shared" si="22"/>
        <v>247.56950943396225</v>
      </c>
      <c r="E278" s="9">
        <f t="shared" si="23"/>
        <v>7427.0852830188678</v>
      </c>
      <c r="F278" s="13">
        <v>1000</v>
      </c>
      <c r="G278" s="9">
        <f t="shared" si="19"/>
        <v>-1436.7206000000001</v>
      </c>
      <c r="H278" t="s">
        <v>51</v>
      </c>
    </row>
    <row r="279" spans="1:8" x14ac:dyDescent="0.25">
      <c r="A279" s="15" t="s">
        <v>32</v>
      </c>
      <c r="B279" s="11">
        <v>17393.284299999999</v>
      </c>
      <c r="C279" s="12">
        <v>24409.119999999999</v>
      </c>
      <c r="D279" s="9">
        <f t="shared" si="22"/>
        <v>92.109886792452826</v>
      </c>
      <c r="E279" s="9">
        <f t="shared" si="23"/>
        <v>2763.2966037735846</v>
      </c>
      <c r="F279" s="13">
        <v>5000</v>
      </c>
      <c r="G279" s="9">
        <f t="shared" si="19"/>
        <v>-12393.284299999999</v>
      </c>
      <c r="H279" t="s">
        <v>51</v>
      </c>
    </row>
    <row r="280" spans="1:8" x14ac:dyDescent="0.25">
      <c r="A280" s="15" t="s">
        <v>33</v>
      </c>
      <c r="B280" s="11">
        <v>812.58</v>
      </c>
      <c r="C280" s="12">
        <v>54803.87</v>
      </c>
      <c r="D280" s="9">
        <f t="shared" si="22"/>
        <v>206.80705660377359</v>
      </c>
      <c r="E280" s="9">
        <f t="shared" si="23"/>
        <v>6204.2116981132076</v>
      </c>
      <c r="F280" s="13">
        <v>500</v>
      </c>
      <c r="G280" s="9">
        <f t="shared" si="19"/>
        <v>-312.58000000000004</v>
      </c>
      <c r="H280" t="s">
        <v>51</v>
      </c>
    </row>
    <row r="281" spans="1:8" x14ac:dyDescent="0.25">
      <c r="A281" s="15" t="s">
        <v>34</v>
      </c>
      <c r="B281" s="11">
        <v>22.5</v>
      </c>
      <c r="C281" s="12">
        <v>71.400000000000006</v>
      </c>
      <c r="D281" s="9">
        <f t="shared" si="22"/>
        <v>0.26943396226415095</v>
      </c>
      <c r="E281" s="9">
        <f t="shared" si="23"/>
        <v>8.0830188679245278</v>
      </c>
      <c r="F281" s="13">
        <v>0</v>
      </c>
      <c r="G281" s="9">
        <f t="shared" si="19"/>
        <v>-22.5</v>
      </c>
      <c r="H281" t="s">
        <v>51</v>
      </c>
    </row>
    <row r="282" spans="1:8" x14ac:dyDescent="0.25">
      <c r="A282" s="15" t="s">
        <v>35</v>
      </c>
      <c r="B282" s="11">
        <v>29700.453000000001</v>
      </c>
      <c r="C282" s="12">
        <v>205908.16</v>
      </c>
      <c r="D282" s="9">
        <f t="shared" si="22"/>
        <v>777.01192452830185</v>
      </c>
      <c r="E282" s="9">
        <f t="shared" si="23"/>
        <v>23310.357735849055</v>
      </c>
      <c r="F282" s="13">
        <v>15000</v>
      </c>
      <c r="G282" s="9">
        <f t="shared" si="19"/>
        <v>-14700.453000000001</v>
      </c>
      <c r="H282" t="s">
        <v>51</v>
      </c>
    </row>
    <row r="283" spans="1:8" x14ac:dyDescent="0.25">
      <c r="A283" s="15" t="s">
        <v>36</v>
      </c>
      <c r="B283" s="11">
        <v>2381.0241000000001</v>
      </c>
      <c r="C283" s="12">
        <v>4267.9399999999996</v>
      </c>
      <c r="D283" s="9">
        <f t="shared" si="22"/>
        <v>16.105433962264151</v>
      </c>
      <c r="E283" s="9">
        <f t="shared" si="23"/>
        <v>483.16301886792451</v>
      </c>
      <c r="F283" s="13">
        <v>3000</v>
      </c>
      <c r="G283" s="9">
        <f t="shared" si="19"/>
        <v>618.97589999999991</v>
      </c>
      <c r="H283" t="s">
        <v>51</v>
      </c>
    </row>
    <row r="284" spans="1:8" x14ac:dyDescent="0.25">
      <c r="A284" s="15" t="s">
        <v>37</v>
      </c>
      <c r="B284" s="11">
        <v>95</v>
      </c>
      <c r="C284" s="12">
        <v>44.76</v>
      </c>
      <c r="D284" s="9">
        <f>C284/265</f>
        <v>0.16890566037735849</v>
      </c>
      <c r="E284" s="9">
        <f>D284*30</f>
        <v>5.0671698113207544</v>
      </c>
      <c r="F284" s="13">
        <v>500</v>
      </c>
      <c r="G284" s="9">
        <f t="shared" si="19"/>
        <v>405</v>
      </c>
      <c r="H284" t="s">
        <v>51</v>
      </c>
    </row>
    <row r="285" spans="1:8" x14ac:dyDescent="0.25">
      <c r="A285" s="6" t="s">
        <v>8</v>
      </c>
      <c r="B285" s="7">
        <v>2363.9119000000001</v>
      </c>
      <c r="C285" s="8">
        <v>155789.70000000001</v>
      </c>
      <c r="D285" s="9">
        <f t="shared" ref="D285:D348" si="24">C285/265</f>
        <v>587.88566037735859</v>
      </c>
      <c r="E285" s="9">
        <f>D285*30</f>
        <v>17636.569811320758</v>
      </c>
      <c r="F285" s="10">
        <v>2500</v>
      </c>
      <c r="G285" s="9">
        <f t="shared" si="19"/>
        <v>136.08809999999994</v>
      </c>
      <c r="H285" t="s">
        <v>52</v>
      </c>
    </row>
    <row r="286" spans="1:8" x14ac:dyDescent="0.25">
      <c r="A286" s="6" t="s">
        <v>10</v>
      </c>
      <c r="B286" s="7">
        <v>40452.019099999998</v>
      </c>
      <c r="C286" s="8">
        <v>494341.13</v>
      </c>
      <c r="D286" s="9">
        <f t="shared" si="24"/>
        <v>1865.4382264150943</v>
      </c>
      <c r="E286" s="9">
        <f t="shared" ref="E286:E311" si="25">D286*30</f>
        <v>55963.146792452826</v>
      </c>
      <c r="F286" s="10">
        <v>35000</v>
      </c>
      <c r="G286" s="9">
        <f t="shared" si="19"/>
        <v>-5452.0190999999977</v>
      </c>
      <c r="H286" t="s">
        <v>52</v>
      </c>
    </row>
    <row r="287" spans="1:8" x14ac:dyDescent="0.25">
      <c r="A287" s="6" t="s">
        <v>11</v>
      </c>
      <c r="B287" s="7">
        <v>12239.179366</v>
      </c>
      <c r="C287" s="8">
        <v>614825.39549999998</v>
      </c>
      <c r="D287" s="9">
        <f t="shared" si="24"/>
        <v>2320.0958320754717</v>
      </c>
      <c r="E287" s="9">
        <f t="shared" si="25"/>
        <v>69602.874962264148</v>
      </c>
      <c r="F287" s="10">
        <v>5000</v>
      </c>
      <c r="G287" s="9">
        <f t="shared" si="19"/>
        <v>-7239.1793660000003</v>
      </c>
      <c r="H287" t="s">
        <v>52</v>
      </c>
    </row>
    <row r="288" spans="1:8" x14ac:dyDescent="0.25">
      <c r="A288" s="6" t="s">
        <v>12</v>
      </c>
      <c r="B288" s="7">
        <v>9778.7733869999993</v>
      </c>
      <c r="C288" s="8">
        <v>527484.62</v>
      </c>
      <c r="D288" s="9">
        <f t="shared" si="24"/>
        <v>1990.508</v>
      </c>
      <c r="E288" s="9">
        <f t="shared" si="25"/>
        <v>59715.24</v>
      </c>
      <c r="F288" s="10">
        <v>8000</v>
      </c>
      <c r="G288" s="9">
        <f t="shared" si="19"/>
        <v>-1778.7733869999993</v>
      </c>
      <c r="H288" t="s">
        <v>52</v>
      </c>
    </row>
    <row r="289" spans="1:8" x14ac:dyDescent="0.25">
      <c r="A289" s="6" t="s">
        <v>13</v>
      </c>
      <c r="B289" s="7">
        <v>28670.142100000001</v>
      </c>
      <c r="C289" s="8">
        <v>47212.12</v>
      </c>
      <c r="D289" s="9">
        <f t="shared" si="24"/>
        <v>178.15894339622642</v>
      </c>
      <c r="E289" s="9">
        <f t="shared" si="25"/>
        <v>5344.7683018867929</v>
      </c>
      <c r="F289" s="10">
        <v>20000</v>
      </c>
      <c r="G289" s="9">
        <f t="shared" si="19"/>
        <v>-8670.1421000000009</v>
      </c>
      <c r="H289" t="s">
        <v>52</v>
      </c>
    </row>
    <row r="290" spans="1:8" x14ac:dyDescent="0.25">
      <c r="A290" s="6" t="s">
        <v>14</v>
      </c>
      <c r="B290" s="7">
        <v>4148.3618660000002</v>
      </c>
      <c r="C290" s="8">
        <v>243162.85920000001</v>
      </c>
      <c r="D290" s="9">
        <f t="shared" si="24"/>
        <v>917.59569509433959</v>
      </c>
      <c r="E290" s="9">
        <f t="shared" si="25"/>
        <v>27527.870852830187</v>
      </c>
      <c r="F290" s="10">
        <v>2500</v>
      </c>
      <c r="G290" s="9">
        <f t="shared" si="19"/>
        <v>-1648.3618660000002</v>
      </c>
      <c r="H290" t="s">
        <v>52</v>
      </c>
    </row>
    <row r="291" spans="1:8" x14ac:dyDescent="0.25">
      <c r="A291" s="6" t="s">
        <v>15</v>
      </c>
      <c r="B291" s="7">
        <v>267804.6531</v>
      </c>
      <c r="C291" s="8">
        <v>1422529.659</v>
      </c>
      <c r="D291" s="9">
        <f t="shared" si="24"/>
        <v>5368.0364490566035</v>
      </c>
      <c r="E291" s="9">
        <f t="shared" si="25"/>
        <v>161041.09347169811</v>
      </c>
      <c r="F291" s="10">
        <v>200000</v>
      </c>
      <c r="G291" s="9">
        <f t="shared" si="19"/>
        <v>-67804.653099999996</v>
      </c>
      <c r="H291" t="s">
        <v>52</v>
      </c>
    </row>
    <row r="292" spans="1:8" x14ac:dyDescent="0.25">
      <c r="A292" s="6" t="s">
        <v>16</v>
      </c>
      <c r="B292" s="7">
        <v>191617.80230000001</v>
      </c>
      <c r="C292" s="8">
        <v>565437.88</v>
      </c>
      <c r="D292" s="9">
        <f t="shared" si="24"/>
        <v>2133.7278490566036</v>
      </c>
      <c r="E292" s="9">
        <f t="shared" si="25"/>
        <v>64011.835471698112</v>
      </c>
      <c r="F292" s="10">
        <v>120000</v>
      </c>
      <c r="G292" s="9">
        <f t="shared" si="19"/>
        <v>-71617.80230000001</v>
      </c>
      <c r="H292" t="s">
        <v>52</v>
      </c>
    </row>
    <row r="293" spans="1:8" x14ac:dyDescent="0.25">
      <c r="A293" s="6" t="s">
        <v>17</v>
      </c>
      <c r="B293" s="7">
        <v>31135.0278</v>
      </c>
      <c r="C293" s="8">
        <v>70840.570000000007</v>
      </c>
      <c r="D293" s="9">
        <f t="shared" si="24"/>
        <v>267.32290566037739</v>
      </c>
      <c r="E293" s="9">
        <f t="shared" si="25"/>
        <v>8019.6871698113218</v>
      </c>
      <c r="F293" s="10">
        <v>15000</v>
      </c>
      <c r="G293" s="9">
        <f t="shared" si="19"/>
        <v>-16135.0278</v>
      </c>
      <c r="H293" t="s">
        <v>52</v>
      </c>
    </row>
    <row r="294" spans="1:8" x14ac:dyDescent="0.25">
      <c r="A294" s="6" t="s">
        <v>18</v>
      </c>
      <c r="B294" s="7">
        <v>25772.180601</v>
      </c>
      <c r="C294" s="8">
        <v>145125.01</v>
      </c>
      <c r="D294" s="9">
        <f t="shared" si="24"/>
        <v>547.64154716981136</v>
      </c>
      <c r="E294" s="9">
        <f t="shared" si="25"/>
        <v>16429.246415094342</v>
      </c>
      <c r="F294" s="10">
        <v>22000</v>
      </c>
      <c r="G294" s="9">
        <f t="shared" si="19"/>
        <v>-3772.180601</v>
      </c>
      <c r="H294" t="s">
        <v>52</v>
      </c>
    </row>
    <row r="295" spans="1:8" x14ac:dyDescent="0.25">
      <c r="A295" s="6" t="s">
        <v>19</v>
      </c>
      <c r="B295" s="7">
        <v>5288.9405210000004</v>
      </c>
      <c r="C295" s="8">
        <v>1267513.2461000001</v>
      </c>
      <c r="D295" s="9">
        <f t="shared" si="24"/>
        <v>4783.0688532075474</v>
      </c>
      <c r="E295" s="9">
        <f t="shared" si="25"/>
        <v>143492.06559622643</v>
      </c>
      <c r="F295" s="10">
        <v>5500</v>
      </c>
      <c r="G295" s="9">
        <f t="shared" ref="G295:G358" si="26">F295-B295</f>
        <v>211.05947899999956</v>
      </c>
      <c r="H295" t="s">
        <v>52</v>
      </c>
    </row>
    <row r="296" spans="1:8" x14ac:dyDescent="0.25">
      <c r="A296" s="6" t="s">
        <v>20</v>
      </c>
      <c r="B296" s="7">
        <v>132829.02859999999</v>
      </c>
      <c r="C296" s="8">
        <v>275708.87</v>
      </c>
      <c r="D296" s="9">
        <f t="shared" si="24"/>
        <v>1040.4108301886793</v>
      </c>
      <c r="E296" s="9">
        <f t="shared" si="25"/>
        <v>31212.324905660378</v>
      </c>
      <c r="F296" s="10">
        <v>80000</v>
      </c>
      <c r="G296" s="9">
        <f t="shared" si="26"/>
        <v>-52829.028599999991</v>
      </c>
      <c r="H296" t="s">
        <v>52</v>
      </c>
    </row>
    <row r="297" spans="1:8" x14ac:dyDescent="0.25">
      <c r="A297" s="6" t="s">
        <v>21</v>
      </c>
      <c r="B297" s="7">
        <v>11266.0301</v>
      </c>
      <c r="C297" s="8">
        <v>40479.699999999997</v>
      </c>
      <c r="D297" s="9">
        <f t="shared" si="24"/>
        <v>152.75358490566038</v>
      </c>
      <c r="E297" s="9">
        <f t="shared" si="25"/>
        <v>4582.6075471698114</v>
      </c>
      <c r="F297" s="10">
        <v>12000</v>
      </c>
      <c r="G297" s="9">
        <f t="shared" si="26"/>
        <v>733.96990000000005</v>
      </c>
      <c r="H297" t="s">
        <v>52</v>
      </c>
    </row>
    <row r="298" spans="1:8" x14ac:dyDescent="0.25">
      <c r="A298" s="6" t="s">
        <v>22</v>
      </c>
      <c r="B298" s="7">
        <v>25543.1535</v>
      </c>
      <c r="C298" s="8">
        <v>194640.92</v>
      </c>
      <c r="D298" s="9">
        <f t="shared" si="24"/>
        <v>734.49403773584913</v>
      </c>
      <c r="E298" s="9">
        <f t="shared" si="25"/>
        <v>22034.821132075474</v>
      </c>
      <c r="F298" s="10">
        <v>25000</v>
      </c>
      <c r="G298" s="9">
        <f t="shared" si="26"/>
        <v>-543.15350000000035</v>
      </c>
      <c r="H298" t="s">
        <v>52</v>
      </c>
    </row>
    <row r="299" spans="1:8" x14ac:dyDescent="0.25">
      <c r="A299" s="6" t="s">
        <v>23</v>
      </c>
      <c r="B299" s="7">
        <v>56375.902693999997</v>
      </c>
      <c r="C299" s="8">
        <v>211036.94</v>
      </c>
      <c r="D299" s="9">
        <f t="shared" si="24"/>
        <v>796.36581132075469</v>
      </c>
      <c r="E299" s="9">
        <f t="shared" si="25"/>
        <v>23890.97433962264</v>
      </c>
      <c r="F299" s="10">
        <v>40000</v>
      </c>
      <c r="G299" s="9">
        <f t="shared" si="26"/>
        <v>-16375.902693999997</v>
      </c>
      <c r="H299" t="s">
        <v>52</v>
      </c>
    </row>
    <row r="300" spans="1:8" x14ac:dyDescent="0.25">
      <c r="A300" s="6" t="s">
        <v>26</v>
      </c>
      <c r="B300" s="7">
        <v>3927.6169</v>
      </c>
      <c r="C300" s="8">
        <v>12684.59</v>
      </c>
      <c r="D300" s="9">
        <f t="shared" si="24"/>
        <v>47.866377358490567</v>
      </c>
      <c r="E300" s="9">
        <f t="shared" si="25"/>
        <v>1435.991320754717</v>
      </c>
      <c r="F300" s="10">
        <v>3000</v>
      </c>
      <c r="G300" s="9">
        <f t="shared" si="26"/>
        <v>-927.61689999999999</v>
      </c>
      <c r="H300" t="s">
        <v>52</v>
      </c>
    </row>
    <row r="301" spans="1:8" x14ac:dyDescent="0.25">
      <c r="A301" s="6" t="s">
        <v>27</v>
      </c>
      <c r="B301" s="7">
        <v>9538.7378000000008</v>
      </c>
      <c r="C301" s="8">
        <v>53979.92</v>
      </c>
      <c r="D301" s="9">
        <f t="shared" si="24"/>
        <v>203.69781132075471</v>
      </c>
      <c r="E301" s="9">
        <f t="shared" si="25"/>
        <v>6110.9343396226413</v>
      </c>
      <c r="F301" s="10">
        <v>7000</v>
      </c>
      <c r="G301" s="9">
        <f t="shared" si="26"/>
        <v>-2538.7378000000008</v>
      </c>
      <c r="H301" t="s">
        <v>52</v>
      </c>
    </row>
    <row r="302" spans="1:8" x14ac:dyDescent="0.25">
      <c r="A302" s="6" t="s">
        <v>28</v>
      </c>
      <c r="B302" s="7">
        <v>9738.0620999999992</v>
      </c>
      <c r="C302" s="8">
        <v>45957.74</v>
      </c>
      <c r="D302" s="9">
        <f t="shared" si="24"/>
        <v>173.42543396226415</v>
      </c>
      <c r="E302" s="9">
        <f t="shared" si="25"/>
        <v>5202.763018867925</v>
      </c>
      <c r="F302" s="10">
        <v>8000</v>
      </c>
      <c r="G302" s="9">
        <f t="shared" si="26"/>
        <v>-1738.0620999999992</v>
      </c>
      <c r="H302" t="s">
        <v>52</v>
      </c>
    </row>
    <row r="303" spans="1:8" x14ac:dyDescent="0.25">
      <c r="A303" s="6" t="s">
        <v>29</v>
      </c>
      <c r="B303" s="7">
        <v>81422.567299999995</v>
      </c>
      <c r="C303" s="8">
        <v>477140.38</v>
      </c>
      <c r="D303" s="9">
        <f t="shared" si="24"/>
        <v>1800.5297358490566</v>
      </c>
      <c r="E303" s="9">
        <f t="shared" si="25"/>
        <v>54015.892075471696</v>
      </c>
      <c r="F303" s="10">
        <v>60000</v>
      </c>
      <c r="G303" s="9">
        <f t="shared" si="26"/>
        <v>-21422.567299999995</v>
      </c>
      <c r="H303" t="s">
        <v>52</v>
      </c>
    </row>
    <row r="304" spans="1:8" x14ac:dyDescent="0.25">
      <c r="A304" s="6" t="s">
        <v>30</v>
      </c>
      <c r="B304" s="7">
        <v>22458.780630000001</v>
      </c>
      <c r="C304" s="8">
        <v>431242.7205</v>
      </c>
      <c r="D304" s="9">
        <f t="shared" si="24"/>
        <v>1627.331020754717</v>
      </c>
      <c r="E304" s="9">
        <f t="shared" si="25"/>
        <v>48819.930622641506</v>
      </c>
      <c r="F304" s="10">
        <v>18000</v>
      </c>
      <c r="G304" s="9">
        <f t="shared" si="26"/>
        <v>-4458.7806300000011</v>
      </c>
      <c r="H304" t="s">
        <v>52</v>
      </c>
    </row>
    <row r="305" spans="1:8" x14ac:dyDescent="0.25">
      <c r="A305" s="6" t="s">
        <v>31</v>
      </c>
      <c r="B305" s="7">
        <v>30078.029500000001</v>
      </c>
      <c r="C305" s="8">
        <v>74886.600000000006</v>
      </c>
      <c r="D305" s="9">
        <f t="shared" si="24"/>
        <v>282.59094339622646</v>
      </c>
      <c r="E305" s="9">
        <f t="shared" si="25"/>
        <v>8477.7283018867947</v>
      </c>
      <c r="F305" s="10">
        <v>5000</v>
      </c>
      <c r="G305" s="9">
        <f t="shared" si="26"/>
        <v>-25078.029500000001</v>
      </c>
      <c r="H305" t="s">
        <v>52</v>
      </c>
    </row>
    <row r="306" spans="1:8" x14ac:dyDescent="0.25">
      <c r="A306" s="6" t="s">
        <v>32</v>
      </c>
      <c r="B306" s="7">
        <v>9948.4912000000004</v>
      </c>
      <c r="C306" s="8">
        <v>21275.35</v>
      </c>
      <c r="D306" s="9">
        <f t="shared" si="24"/>
        <v>80.284339622641511</v>
      </c>
      <c r="E306" s="9">
        <f t="shared" si="25"/>
        <v>2408.5301886792454</v>
      </c>
      <c r="F306" s="10">
        <v>6000</v>
      </c>
      <c r="G306" s="9">
        <f t="shared" si="26"/>
        <v>-3948.4912000000004</v>
      </c>
      <c r="H306" t="s">
        <v>52</v>
      </c>
    </row>
    <row r="307" spans="1:8" x14ac:dyDescent="0.25">
      <c r="A307" s="6" t="s">
        <v>33</v>
      </c>
      <c r="B307" s="7">
        <v>8232.0725000000002</v>
      </c>
      <c r="C307" s="8">
        <v>236988.14</v>
      </c>
      <c r="D307" s="9">
        <f t="shared" si="24"/>
        <v>894.29486792452838</v>
      </c>
      <c r="E307" s="9">
        <f t="shared" si="25"/>
        <v>26828.84603773585</v>
      </c>
      <c r="F307" s="10">
        <v>5000</v>
      </c>
      <c r="G307" s="9">
        <f t="shared" si="26"/>
        <v>-3232.0725000000002</v>
      </c>
      <c r="H307" t="s">
        <v>52</v>
      </c>
    </row>
    <row r="308" spans="1:8" x14ac:dyDescent="0.25">
      <c r="A308" s="6" t="s">
        <v>34</v>
      </c>
      <c r="B308" s="7">
        <v>1192.1847</v>
      </c>
      <c r="C308" s="8">
        <v>1648.22</v>
      </c>
      <c r="D308" s="9">
        <f t="shared" si="24"/>
        <v>6.2196981132075475</v>
      </c>
      <c r="E308" s="9">
        <f t="shared" si="25"/>
        <v>186.59094339622644</v>
      </c>
      <c r="F308" s="10">
        <v>1500</v>
      </c>
      <c r="G308" s="9">
        <f t="shared" si="26"/>
        <v>307.81529999999998</v>
      </c>
      <c r="H308" t="s">
        <v>52</v>
      </c>
    </row>
    <row r="309" spans="1:8" x14ac:dyDescent="0.25">
      <c r="A309" s="6" t="s">
        <v>35</v>
      </c>
      <c r="B309" s="7">
        <v>19565.8442</v>
      </c>
      <c r="C309" s="8">
        <v>77101.570000000007</v>
      </c>
      <c r="D309" s="9">
        <f t="shared" si="24"/>
        <v>290.94932075471701</v>
      </c>
      <c r="E309" s="9">
        <f t="shared" si="25"/>
        <v>8728.479622641511</v>
      </c>
      <c r="F309" s="10">
        <v>8000</v>
      </c>
      <c r="G309" s="9">
        <f t="shared" si="26"/>
        <v>-11565.8442</v>
      </c>
      <c r="H309" t="s">
        <v>52</v>
      </c>
    </row>
    <row r="310" spans="1:8" x14ac:dyDescent="0.25">
      <c r="A310" s="6" t="s">
        <v>36</v>
      </c>
      <c r="B310" s="7">
        <v>7848.183</v>
      </c>
      <c r="C310" s="8">
        <v>13011.87</v>
      </c>
      <c r="D310" s="9">
        <f t="shared" si="24"/>
        <v>49.101396226415098</v>
      </c>
      <c r="E310" s="9">
        <f t="shared" si="25"/>
        <v>1473.0418867924529</v>
      </c>
      <c r="F310" s="10">
        <v>6000</v>
      </c>
      <c r="G310" s="9">
        <f t="shared" si="26"/>
        <v>-1848.183</v>
      </c>
      <c r="H310" t="s">
        <v>52</v>
      </c>
    </row>
    <row r="311" spans="1:8" x14ac:dyDescent="0.25">
      <c r="A311" s="6" t="s">
        <v>37</v>
      </c>
      <c r="B311" s="7">
        <v>32974.330499999996</v>
      </c>
      <c r="C311" s="8">
        <v>63850.34</v>
      </c>
      <c r="D311" s="9">
        <f t="shared" si="24"/>
        <v>240.944679245283</v>
      </c>
      <c r="E311" s="9">
        <f t="shared" si="25"/>
        <v>7228.3403773584896</v>
      </c>
      <c r="F311" s="10">
        <v>24000</v>
      </c>
      <c r="G311" s="9">
        <f t="shared" si="26"/>
        <v>-8974.3304999999964</v>
      </c>
      <c r="H311" t="s">
        <v>52</v>
      </c>
    </row>
    <row r="312" spans="1:8" x14ac:dyDescent="0.25">
      <c r="A312" s="6" t="s">
        <v>8</v>
      </c>
      <c r="B312" s="7">
        <v>2150.6357760000001</v>
      </c>
      <c r="C312" s="8">
        <v>39277.57</v>
      </c>
      <c r="D312" s="9">
        <f t="shared" si="24"/>
        <v>148.21724528301885</v>
      </c>
      <c r="E312" s="9">
        <f>D312*30</f>
        <v>4446.517358490566</v>
      </c>
      <c r="F312" s="10">
        <v>1500</v>
      </c>
      <c r="G312" s="9">
        <f t="shared" si="26"/>
        <v>-650.63577600000008</v>
      </c>
      <c r="H312" t="s">
        <v>53</v>
      </c>
    </row>
    <row r="313" spans="1:8" x14ac:dyDescent="0.25">
      <c r="A313" s="6" t="s">
        <v>10</v>
      </c>
      <c r="B313" s="7">
        <v>20936.048200000001</v>
      </c>
      <c r="C313" s="8">
        <v>175425.86</v>
      </c>
      <c r="D313" s="9">
        <f t="shared" si="24"/>
        <v>661.98437735849052</v>
      </c>
      <c r="E313" s="9">
        <f t="shared" ref="E313:E338" si="27">D313*30</f>
        <v>19859.531320754715</v>
      </c>
      <c r="F313" s="10">
        <v>15000</v>
      </c>
      <c r="G313" s="9">
        <f t="shared" si="26"/>
        <v>-5936.0482000000011</v>
      </c>
      <c r="H313" t="s">
        <v>53</v>
      </c>
    </row>
    <row r="314" spans="1:8" x14ac:dyDescent="0.25">
      <c r="A314" s="6" t="s">
        <v>11</v>
      </c>
      <c r="B314" s="7">
        <v>6607.926297</v>
      </c>
      <c r="C314" s="8">
        <v>617330.25959999999</v>
      </c>
      <c r="D314" s="9">
        <f t="shared" si="24"/>
        <v>2329.5481494339624</v>
      </c>
      <c r="E314" s="9">
        <f t="shared" si="27"/>
        <v>69886.444483018873</v>
      </c>
      <c r="F314" s="10">
        <v>5000</v>
      </c>
      <c r="G314" s="9">
        <f t="shared" si="26"/>
        <v>-1607.926297</v>
      </c>
      <c r="H314" t="s">
        <v>53</v>
      </c>
    </row>
    <row r="315" spans="1:8" x14ac:dyDescent="0.25">
      <c r="A315" s="6" t="s">
        <v>12</v>
      </c>
      <c r="B315" s="7">
        <v>7745.5516299999999</v>
      </c>
      <c r="C315" s="8">
        <v>239181.36</v>
      </c>
      <c r="D315" s="9">
        <f t="shared" si="24"/>
        <v>902.57116981132071</v>
      </c>
      <c r="E315" s="9">
        <f t="shared" si="27"/>
        <v>27077.135094339621</v>
      </c>
      <c r="F315" s="10">
        <v>5000</v>
      </c>
      <c r="G315" s="9">
        <f t="shared" si="26"/>
        <v>-2745.5516299999999</v>
      </c>
      <c r="H315" t="s">
        <v>53</v>
      </c>
    </row>
    <row r="316" spans="1:8" x14ac:dyDescent="0.25">
      <c r="A316" s="6" t="s">
        <v>13</v>
      </c>
      <c r="B316" s="7">
        <v>95362.444499999998</v>
      </c>
      <c r="C316" s="8">
        <v>198705.39</v>
      </c>
      <c r="D316" s="9">
        <f t="shared" si="24"/>
        <v>749.8316603773585</v>
      </c>
      <c r="E316" s="9">
        <f t="shared" si="27"/>
        <v>22494.949811320756</v>
      </c>
      <c r="F316" s="10">
        <v>85000</v>
      </c>
      <c r="G316" s="9">
        <f t="shared" si="26"/>
        <v>-10362.444499999998</v>
      </c>
      <c r="H316" t="s">
        <v>53</v>
      </c>
    </row>
    <row r="317" spans="1:8" x14ac:dyDescent="0.25">
      <c r="A317" s="6" t="s">
        <v>14</v>
      </c>
      <c r="B317" s="7">
        <v>1756.0439329999999</v>
      </c>
      <c r="C317" s="8">
        <v>190103.55609999999</v>
      </c>
      <c r="D317" s="9">
        <f t="shared" si="24"/>
        <v>717.37190981132073</v>
      </c>
      <c r="E317" s="9">
        <f t="shared" si="27"/>
        <v>21521.15729433962</v>
      </c>
      <c r="F317" s="10">
        <v>1800</v>
      </c>
      <c r="G317" s="9">
        <f t="shared" si="26"/>
        <v>43.956067000000075</v>
      </c>
      <c r="H317" t="s">
        <v>53</v>
      </c>
    </row>
    <row r="318" spans="1:8" x14ac:dyDescent="0.25">
      <c r="A318" s="6" t="s">
        <v>15</v>
      </c>
      <c r="B318" s="7">
        <v>204891.6269</v>
      </c>
      <c r="C318" s="8">
        <v>1338054.79</v>
      </c>
      <c r="D318" s="9">
        <f t="shared" si="24"/>
        <v>5049.2633584905661</v>
      </c>
      <c r="E318" s="9">
        <f t="shared" si="27"/>
        <v>151477.90075471697</v>
      </c>
      <c r="F318" s="10">
        <v>190000</v>
      </c>
      <c r="G318" s="9">
        <f t="shared" si="26"/>
        <v>-14891.626900000003</v>
      </c>
      <c r="H318" t="s">
        <v>53</v>
      </c>
    </row>
    <row r="319" spans="1:8" x14ac:dyDescent="0.25">
      <c r="A319" s="6" t="s">
        <v>16</v>
      </c>
      <c r="B319" s="7">
        <v>181120.02129999999</v>
      </c>
      <c r="C319" s="8">
        <v>516937.66</v>
      </c>
      <c r="D319" s="9">
        <f t="shared" si="24"/>
        <v>1950.708150943396</v>
      </c>
      <c r="E319" s="9">
        <f t="shared" si="27"/>
        <v>58521.244528301882</v>
      </c>
      <c r="F319" s="10">
        <v>110000</v>
      </c>
      <c r="G319" s="9">
        <f t="shared" si="26"/>
        <v>-71120.021299999993</v>
      </c>
      <c r="H319" t="s">
        <v>53</v>
      </c>
    </row>
    <row r="320" spans="1:8" x14ac:dyDescent="0.25">
      <c r="A320" s="6" t="s">
        <v>17</v>
      </c>
      <c r="B320" s="7">
        <v>89471.445900000006</v>
      </c>
      <c r="C320" s="8">
        <v>177505.5</v>
      </c>
      <c r="D320" s="9">
        <f t="shared" si="24"/>
        <v>669.83207547169809</v>
      </c>
      <c r="E320" s="9">
        <f t="shared" si="27"/>
        <v>20094.962264150941</v>
      </c>
      <c r="F320" s="10">
        <v>60000</v>
      </c>
      <c r="G320" s="9">
        <f t="shared" si="26"/>
        <v>-29471.445900000006</v>
      </c>
      <c r="H320" t="s">
        <v>53</v>
      </c>
    </row>
    <row r="321" spans="1:8" x14ac:dyDescent="0.25">
      <c r="A321" s="6" t="s">
        <v>18</v>
      </c>
      <c r="B321" s="7">
        <v>15286.338131</v>
      </c>
      <c r="C321" s="8">
        <v>162932.35</v>
      </c>
      <c r="D321" s="9">
        <f t="shared" si="24"/>
        <v>614.83905660377366</v>
      </c>
      <c r="E321" s="9">
        <f t="shared" si="27"/>
        <v>18445.171698113209</v>
      </c>
      <c r="F321" s="10">
        <v>15000</v>
      </c>
      <c r="G321" s="9">
        <f t="shared" si="26"/>
        <v>-286.33813100000043</v>
      </c>
      <c r="H321" t="s">
        <v>53</v>
      </c>
    </row>
    <row r="322" spans="1:8" x14ac:dyDescent="0.25">
      <c r="A322" s="6" t="s">
        <v>19</v>
      </c>
      <c r="B322" s="7">
        <v>13071.199933</v>
      </c>
      <c r="C322" s="8">
        <v>973575.54709999997</v>
      </c>
      <c r="D322" s="9">
        <f t="shared" si="24"/>
        <v>3673.8699890566036</v>
      </c>
      <c r="E322" s="9">
        <f t="shared" si="27"/>
        <v>110216.0996716981</v>
      </c>
      <c r="F322" s="10">
        <v>6000</v>
      </c>
      <c r="G322" s="9">
        <f t="shared" si="26"/>
        <v>-7071.1999329999999</v>
      </c>
      <c r="H322" t="s">
        <v>53</v>
      </c>
    </row>
    <row r="323" spans="1:8" x14ac:dyDescent="0.25">
      <c r="A323" s="6" t="s">
        <v>20</v>
      </c>
      <c r="B323" s="7">
        <v>291270.99660000001</v>
      </c>
      <c r="C323" s="8">
        <v>627529.31000000006</v>
      </c>
      <c r="D323" s="9">
        <f t="shared" si="24"/>
        <v>2368.0351320754721</v>
      </c>
      <c r="E323" s="9">
        <f t="shared" si="27"/>
        <v>71041.053962264166</v>
      </c>
      <c r="F323" s="10">
        <v>180000</v>
      </c>
      <c r="G323" s="9">
        <f t="shared" si="26"/>
        <v>-111270.99660000001</v>
      </c>
      <c r="H323" t="s">
        <v>53</v>
      </c>
    </row>
    <row r="324" spans="1:8" x14ac:dyDescent="0.25">
      <c r="A324" s="6" t="s">
        <v>21</v>
      </c>
      <c r="B324" s="7">
        <v>65925.740600000005</v>
      </c>
      <c r="C324" s="8">
        <v>205465.5</v>
      </c>
      <c r="D324" s="9">
        <f t="shared" si="24"/>
        <v>775.3415094339623</v>
      </c>
      <c r="E324" s="9">
        <f t="shared" si="27"/>
        <v>23260.24528301887</v>
      </c>
      <c r="F324" s="10">
        <v>60000</v>
      </c>
      <c r="G324" s="9">
        <f t="shared" si="26"/>
        <v>-5925.7406000000046</v>
      </c>
      <c r="H324" t="s">
        <v>53</v>
      </c>
    </row>
    <row r="325" spans="1:8" x14ac:dyDescent="0.25">
      <c r="A325" s="6" t="s">
        <v>22</v>
      </c>
      <c r="B325" s="7">
        <v>54514.89615</v>
      </c>
      <c r="C325" s="8">
        <v>321624.31</v>
      </c>
      <c r="D325" s="9">
        <f t="shared" si="24"/>
        <v>1213.6766415094339</v>
      </c>
      <c r="E325" s="9">
        <f t="shared" si="27"/>
        <v>36410.299245283015</v>
      </c>
      <c r="F325" s="10">
        <v>42000</v>
      </c>
      <c r="G325" s="9">
        <f t="shared" si="26"/>
        <v>-12514.89615</v>
      </c>
      <c r="H325" t="s">
        <v>53</v>
      </c>
    </row>
    <row r="326" spans="1:8" x14ac:dyDescent="0.25">
      <c r="A326" s="6" t="s">
        <v>23</v>
      </c>
      <c r="B326" s="7">
        <v>58232.013361999998</v>
      </c>
      <c r="C326" s="8">
        <v>171562.26500000001</v>
      </c>
      <c r="D326" s="9">
        <f t="shared" si="24"/>
        <v>647.40477358490568</v>
      </c>
      <c r="E326" s="9">
        <f t="shared" si="27"/>
        <v>19422.143207547171</v>
      </c>
      <c r="F326" s="10">
        <v>35000</v>
      </c>
      <c r="G326" s="9">
        <f t="shared" si="26"/>
        <v>-23232.013361999998</v>
      </c>
      <c r="H326" t="s">
        <v>53</v>
      </c>
    </row>
    <row r="327" spans="1:8" x14ac:dyDescent="0.25">
      <c r="A327" s="6" t="s">
        <v>26</v>
      </c>
      <c r="B327" s="7">
        <v>11916.872499999999</v>
      </c>
      <c r="C327" s="8">
        <v>37127.883300000001</v>
      </c>
      <c r="D327" s="9">
        <f t="shared" si="24"/>
        <v>140.10522</v>
      </c>
      <c r="E327" s="9">
        <f t="shared" si="27"/>
        <v>4203.1566000000003</v>
      </c>
      <c r="F327" s="10">
        <v>8500</v>
      </c>
      <c r="G327" s="9">
        <f t="shared" si="26"/>
        <v>-3416.8724999999995</v>
      </c>
      <c r="H327" t="s">
        <v>53</v>
      </c>
    </row>
    <row r="328" spans="1:8" x14ac:dyDescent="0.25">
      <c r="A328" s="6" t="s">
        <v>27</v>
      </c>
      <c r="B328" s="7">
        <v>30923.083600000002</v>
      </c>
      <c r="C328" s="8">
        <v>118027.94</v>
      </c>
      <c r="D328" s="9">
        <f t="shared" si="24"/>
        <v>445.38845283018867</v>
      </c>
      <c r="E328" s="9">
        <f t="shared" si="27"/>
        <v>13361.65358490566</v>
      </c>
      <c r="F328" s="10">
        <v>20000</v>
      </c>
      <c r="G328" s="9">
        <f t="shared" si="26"/>
        <v>-10923.083600000002</v>
      </c>
      <c r="H328" t="s">
        <v>53</v>
      </c>
    </row>
    <row r="329" spans="1:8" x14ac:dyDescent="0.25">
      <c r="A329" s="6" t="s">
        <v>28</v>
      </c>
      <c r="B329" s="7">
        <v>11299.5327</v>
      </c>
      <c r="C329" s="8">
        <v>60857.88</v>
      </c>
      <c r="D329" s="9">
        <f t="shared" si="24"/>
        <v>229.65237735849055</v>
      </c>
      <c r="E329" s="9">
        <f t="shared" si="27"/>
        <v>6889.5713207547169</v>
      </c>
      <c r="F329" s="10">
        <v>10000</v>
      </c>
      <c r="G329" s="9">
        <f t="shared" si="26"/>
        <v>-1299.5326999999997</v>
      </c>
      <c r="H329" t="s">
        <v>53</v>
      </c>
    </row>
    <row r="330" spans="1:8" x14ac:dyDescent="0.25">
      <c r="A330" s="6" t="s">
        <v>29</v>
      </c>
      <c r="B330" s="7">
        <v>110714.7692</v>
      </c>
      <c r="C330" s="8">
        <v>788870.21</v>
      </c>
      <c r="D330" s="9">
        <f t="shared" si="24"/>
        <v>2976.8687169811319</v>
      </c>
      <c r="E330" s="9">
        <f t="shared" si="27"/>
        <v>89306.061509433959</v>
      </c>
      <c r="F330" s="10">
        <v>110000</v>
      </c>
      <c r="G330" s="9">
        <f t="shared" si="26"/>
        <v>-714.76919999999518</v>
      </c>
      <c r="H330" t="s">
        <v>53</v>
      </c>
    </row>
    <row r="331" spans="1:8" x14ac:dyDescent="0.25">
      <c r="A331" s="6" t="s">
        <v>30</v>
      </c>
      <c r="B331" s="7">
        <v>35773.006668000002</v>
      </c>
      <c r="C331" s="8">
        <v>823897.65139999997</v>
      </c>
      <c r="D331" s="9">
        <f t="shared" si="24"/>
        <v>3109.0477411320753</v>
      </c>
      <c r="E331" s="9">
        <f t="shared" si="27"/>
        <v>93271.432233962259</v>
      </c>
      <c r="F331" s="10">
        <v>35000</v>
      </c>
      <c r="G331" s="9">
        <f t="shared" si="26"/>
        <v>-773.00666800000181</v>
      </c>
      <c r="H331" t="s">
        <v>53</v>
      </c>
    </row>
    <row r="332" spans="1:8" x14ac:dyDescent="0.25">
      <c r="A332" s="6" t="s">
        <v>31</v>
      </c>
      <c r="B332" s="7">
        <v>8403.893</v>
      </c>
      <c r="C332" s="8">
        <v>59182.99</v>
      </c>
      <c r="D332" s="9">
        <f t="shared" si="24"/>
        <v>223.33203773584904</v>
      </c>
      <c r="E332" s="9">
        <f t="shared" si="27"/>
        <v>6699.9611320754711</v>
      </c>
      <c r="F332" s="10">
        <v>2000</v>
      </c>
      <c r="G332" s="9">
        <f t="shared" si="26"/>
        <v>-6403.893</v>
      </c>
      <c r="H332" t="s">
        <v>53</v>
      </c>
    </row>
    <row r="333" spans="1:8" x14ac:dyDescent="0.25">
      <c r="A333" s="6" t="s">
        <v>32</v>
      </c>
      <c r="B333" s="7">
        <v>16689.054100000001</v>
      </c>
      <c r="C333" s="8">
        <v>24069.348900000001</v>
      </c>
      <c r="D333" s="9">
        <f t="shared" si="24"/>
        <v>90.827731698113212</v>
      </c>
      <c r="E333" s="9">
        <f t="shared" si="27"/>
        <v>2724.8319509433964</v>
      </c>
      <c r="F333" s="10">
        <v>8000</v>
      </c>
      <c r="G333" s="9">
        <f t="shared" si="26"/>
        <v>-8689.0541000000012</v>
      </c>
      <c r="H333" t="s">
        <v>53</v>
      </c>
    </row>
    <row r="334" spans="1:8" x14ac:dyDescent="0.25">
      <c r="A334" s="6" t="s">
        <v>33</v>
      </c>
      <c r="B334" s="7">
        <v>1917.1039000000001</v>
      </c>
      <c r="C334" s="8">
        <v>210782.95</v>
      </c>
      <c r="D334" s="9">
        <f t="shared" si="24"/>
        <v>795.40735849056603</v>
      </c>
      <c r="E334" s="9">
        <f t="shared" si="27"/>
        <v>23862.220754716982</v>
      </c>
      <c r="F334" s="10">
        <v>2000</v>
      </c>
      <c r="G334" s="9">
        <f t="shared" si="26"/>
        <v>82.896099999999933</v>
      </c>
      <c r="H334" t="s">
        <v>53</v>
      </c>
    </row>
    <row r="335" spans="1:8" x14ac:dyDescent="0.25">
      <c r="A335" s="6" t="s">
        <v>34</v>
      </c>
      <c r="B335" s="7">
        <v>5687.9962999999998</v>
      </c>
      <c r="C335" s="8">
        <v>11068.24</v>
      </c>
      <c r="D335" s="9">
        <f t="shared" si="24"/>
        <v>41.766943396226416</v>
      </c>
      <c r="E335" s="9">
        <f t="shared" si="27"/>
        <v>1253.0083018867924</v>
      </c>
      <c r="F335" s="10">
        <v>6000</v>
      </c>
      <c r="G335" s="9">
        <f t="shared" si="26"/>
        <v>312.00370000000021</v>
      </c>
      <c r="H335" t="s">
        <v>53</v>
      </c>
    </row>
    <row r="336" spans="1:8" x14ac:dyDescent="0.25">
      <c r="A336" s="6" t="s">
        <v>35</v>
      </c>
      <c r="B336" s="7">
        <v>4753.2714999999998</v>
      </c>
      <c r="C336" s="8">
        <v>31308.54</v>
      </c>
      <c r="D336" s="9">
        <f t="shared" si="24"/>
        <v>118.14543396226415</v>
      </c>
      <c r="E336" s="9">
        <f t="shared" si="27"/>
        <v>3544.3630188679244</v>
      </c>
      <c r="F336" s="10">
        <v>4000</v>
      </c>
      <c r="G336" s="9">
        <f t="shared" si="26"/>
        <v>-753.27149999999983</v>
      </c>
      <c r="H336" t="s">
        <v>53</v>
      </c>
    </row>
    <row r="337" spans="1:8" x14ac:dyDescent="0.25">
      <c r="A337" s="6" t="s">
        <v>36</v>
      </c>
      <c r="B337" s="7">
        <v>6446.1382000000003</v>
      </c>
      <c r="C337" s="8">
        <v>22269.65</v>
      </c>
      <c r="D337" s="9">
        <f t="shared" si="24"/>
        <v>84.036415094339631</v>
      </c>
      <c r="E337" s="9">
        <f t="shared" si="27"/>
        <v>2521.0924528301889</v>
      </c>
      <c r="F337" s="10">
        <v>7000</v>
      </c>
      <c r="G337" s="9">
        <f t="shared" si="26"/>
        <v>553.86179999999968</v>
      </c>
      <c r="H337" t="s">
        <v>53</v>
      </c>
    </row>
    <row r="338" spans="1:8" x14ac:dyDescent="0.25">
      <c r="A338" s="6" t="s">
        <v>37</v>
      </c>
      <c r="B338" s="7">
        <v>69847.849900000001</v>
      </c>
      <c r="C338" s="8">
        <v>172660.22</v>
      </c>
      <c r="D338" s="9">
        <f t="shared" si="24"/>
        <v>651.548</v>
      </c>
      <c r="E338" s="9">
        <f t="shared" si="27"/>
        <v>19546.439999999999</v>
      </c>
      <c r="F338" s="10">
        <v>50000</v>
      </c>
      <c r="G338" s="9">
        <f t="shared" si="26"/>
        <v>-19847.849900000001</v>
      </c>
      <c r="H338" t="s">
        <v>53</v>
      </c>
    </row>
    <row r="339" spans="1:8" x14ac:dyDescent="0.25">
      <c r="A339" s="6" t="s">
        <v>8</v>
      </c>
      <c r="B339" s="7">
        <v>4258.5052560000004</v>
      </c>
      <c r="C339" s="8">
        <v>227589.63</v>
      </c>
      <c r="D339" s="9">
        <f t="shared" si="24"/>
        <v>858.82879245283016</v>
      </c>
      <c r="E339" s="9">
        <f>D339*30</f>
        <v>25764.863773584904</v>
      </c>
      <c r="F339" s="10">
        <v>4000</v>
      </c>
      <c r="G339" s="9">
        <f t="shared" si="26"/>
        <v>-258.50525600000037</v>
      </c>
      <c r="H339" t="s">
        <v>54</v>
      </c>
    </row>
    <row r="340" spans="1:8" x14ac:dyDescent="0.25">
      <c r="A340" s="6" t="s">
        <v>10</v>
      </c>
      <c r="B340" s="7">
        <v>21497.381099999999</v>
      </c>
      <c r="C340" s="8">
        <v>564073.84</v>
      </c>
      <c r="D340" s="9">
        <f t="shared" si="24"/>
        <v>2128.5805283018867</v>
      </c>
      <c r="E340" s="9">
        <f t="shared" ref="E340:E365" si="28">D340*30</f>
        <v>63857.415849056604</v>
      </c>
      <c r="F340" s="10">
        <v>22000</v>
      </c>
      <c r="G340" s="9">
        <f t="shared" si="26"/>
        <v>502.6189000000013</v>
      </c>
      <c r="H340" t="s">
        <v>54</v>
      </c>
    </row>
    <row r="341" spans="1:8" x14ac:dyDescent="0.25">
      <c r="A341" s="6" t="s">
        <v>11</v>
      </c>
      <c r="B341" s="7">
        <v>74.545080999999996</v>
      </c>
      <c r="C341" s="8">
        <v>938.01</v>
      </c>
      <c r="D341" s="9">
        <f t="shared" si="24"/>
        <v>3.5396603773584907</v>
      </c>
      <c r="E341" s="9">
        <f t="shared" si="28"/>
        <v>106.18981132075473</v>
      </c>
      <c r="F341" s="10">
        <v>0</v>
      </c>
      <c r="G341" s="9">
        <f t="shared" si="26"/>
        <v>-74.545080999999996</v>
      </c>
      <c r="H341" t="s">
        <v>54</v>
      </c>
    </row>
    <row r="342" spans="1:8" x14ac:dyDescent="0.25">
      <c r="A342" s="6" t="s">
        <v>12</v>
      </c>
      <c r="B342" s="7">
        <v>7699.7948050000005</v>
      </c>
      <c r="C342" s="8">
        <v>403620.61</v>
      </c>
      <c r="D342" s="9">
        <f t="shared" si="24"/>
        <v>1523.096641509434</v>
      </c>
      <c r="E342" s="9">
        <f t="shared" si="28"/>
        <v>45692.899245283021</v>
      </c>
      <c r="F342" s="10">
        <v>7700</v>
      </c>
      <c r="G342" s="9">
        <f t="shared" si="26"/>
        <v>0.2051949999995486</v>
      </c>
      <c r="H342" t="s">
        <v>54</v>
      </c>
    </row>
    <row r="343" spans="1:8" x14ac:dyDescent="0.25">
      <c r="A343" s="6" t="s">
        <v>13</v>
      </c>
      <c r="B343" s="7">
        <v>79707.029699999999</v>
      </c>
      <c r="C343" s="8">
        <v>156547.49</v>
      </c>
      <c r="D343" s="9">
        <f t="shared" si="24"/>
        <v>590.74524528301879</v>
      </c>
      <c r="E343" s="9">
        <f t="shared" si="28"/>
        <v>17722.357358490564</v>
      </c>
      <c r="F343" s="10">
        <v>55000</v>
      </c>
      <c r="G343" s="9">
        <f t="shared" si="26"/>
        <v>-24707.029699999999</v>
      </c>
      <c r="H343" t="s">
        <v>54</v>
      </c>
    </row>
    <row r="344" spans="1:8" x14ac:dyDescent="0.25">
      <c r="A344" s="6" t="s">
        <v>14</v>
      </c>
      <c r="B344" s="7">
        <v>15.056150000000001</v>
      </c>
      <c r="C344" s="8">
        <v>564.22</v>
      </c>
      <c r="D344" s="9">
        <f t="shared" si="24"/>
        <v>2.129132075471698</v>
      </c>
      <c r="E344" s="9">
        <f t="shared" si="28"/>
        <v>63.87396226415094</v>
      </c>
      <c r="F344" s="10">
        <v>0</v>
      </c>
      <c r="G344" s="9">
        <f t="shared" si="26"/>
        <v>-15.056150000000001</v>
      </c>
      <c r="H344" t="s">
        <v>54</v>
      </c>
    </row>
    <row r="345" spans="1:8" x14ac:dyDescent="0.25">
      <c r="A345" s="6" t="s">
        <v>15</v>
      </c>
      <c r="B345" s="7">
        <v>89837.465750000003</v>
      </c>
      <c r="C345" s="8">
        <v>939237.1</v>
      </c>
      <c r="D345" s="9">
        <f t="shared" si="24"/>
        <v>3544.2909433962263</v>
      </c>
      <c r="E345" s="9">
        <f t="shared" si="28"/>
        <v>106328.72830188679</v>
      </c>
      <c r="F345" s="10">
        <v>90000</v>
      </c>
      <c r="G345" s="9">
        <f t="shared" si="26"/>
        <v>162.53424999999697</v>
      </c>
      <c r="H345" t="s">
        <v>54</v>
      </c>
    </row>
    <row r="346" spans="1:8" x14ac:dyDescent="0.25">
      <c r="A346" s="6" t="s">
        <v>16</v>
      </c>
      <c r="B346" s="7">
        <v>177801.308556</v>
      </c>
      <c r="C346" s="8">
        <v>1086655.05</v>
      </c>
      <c r="D346" s="9">
        <f t="shared" si="24"/>
        <v>4100.5850943396226</v>
      </c>
      <c r="E346" s="9">
        <f t="shared" si="28"/>
        <v>123017.55283018868</v>
      </c>
      <c r="F346" s="10">
        <v>180000</v>
      </c>
      <c r="G346" s="9">
        <f t="shared" si="26"/>
        <v>2198.6914439999964</v>
      </c>
      <c r="H346" t="s">
        <v>54</v>
      </c>
    </row>
    <row r="347" spans="1:8" x14ac:dyDescent="0.25">
      <c r="A347" s="6" t="s">
        <v>17</v>
      </c>
      <c r="B347" s="7">
        <v>26729.6914</v>
      </c>
      <c r="C347" s="8">
        <v>94775.58</v>
      </c>
      <c r="D347" s="9">
        <f t="shared" si="24"/>
        <v>357.64369811320756</v>
      </c>
      <c r="E347" s="9">
        <f t="shared" si="28"/>
        <v>10729.310943396227</v>
      </c>
      <c r="F347" s="10">
        <v>25000</v>
      </c>
      <c r="G347" s="9">
        <f t="shared" si="26"/>
        <v>-1729.6913999999997</v>
      </c>
      <c r="H347" t="s">
        <v>54</v>
      </c>
    </row>
    <row r="348" spans="1:8" x14ac:dyDescent="0.25">
      <c r="A348" s="6" t="s">
        <v>18</v>
      </c>
      <c r="B348" s="7">
        <v>3512.0888260000002</v>
      </c>
      <c r="C348" s="8">
        <v>30446.06</v>
      </c>
      <c r="D348" s="9">
        <f t="shared" si="24"/>
        <v>114.8907924528302</v>
      </c>
      <c r="E348" s="9">
        <f t="shared" si="28"/>
        <v>3446.7237735849058</v>
      </c>
      <c r="F348" s="10">
        <v>3500</v>
      </c>
      <c r="G348" s="9">
        <f t="shared" si="26"/>
        <v>-12.088826000000154</v>
      </c>
      <c r="H348" t="s">
        <v>54</v>
      </c>
    </row>
    <row r="349" spans="1:8" x14ac:dyDescent="0.25">
      <c r="A349" s="6" t="s">
        <v>19</v>
      </c>
      <c r="B349" s="7">
        <v>3032.3566249999999</v>
      </c>
      <c r="C349" s="8">
        <v>594745.05390000006</v>
      </c>
      <c r="D349" s="9">
        <f t="shared" ref="D349:D365" si="29">C349/265</f>
        <v>2244.3209581132078</v>
      </c>
      <c r="E349" s="9">
        <f t="shared" si="28"/>
        <v>67329.628743396228</v>
      </c>
      <c r="F349" s="10">
        <v>3000</v>
      </c>
      <c r="G349" s="9">
        <f t="shared" si="26"/>
        <v>-32.356624999999894</v>
      </c>
      <c r="H349" t="s">
        <v>54</v>
      </c>
    </row>
    <row r="350" spans="1:8" x14ac:dyDescent="0.25">
      <c r="A350" s="6" t="s">
        <v>20</v>
      </c>
      <c r="B350" s="7">
        <v>115669.1078</v>
      </c>
      <c r="C350" s="8">
        <v>457509.39</v>
      </c>
      <c r="D350" s="9">
        <f t="shared" si="29"/>
        <v>1726.4505283018868</v>
      </c>
      <c r="E350" s="9">
        <f t="shared" si="28"/>
        <v>51793.515849056603</v>
      </c>
      <c r="F350" s="10">
        <v>110000</v>
      </c>
      <c r="G350" s="9">
        <f t="shared" si="26"/>
        <v>-5669.107799999998</v>
      </c>
      <c r="H350" t="s">
        <v>54</v>
      </c>
    </row>
    <row r="351" spans="1:8" x14ac:dyDescent="0.25">
      <c r="A351" s="6" t="s">
        <v>21</v>
      </c>
      <c r="B351" s="7">
        <v>28329.752100000002</v>
      </c>
      <c r="C351" s="8">
        <v>92607.21</v>
      </c>
      <c r="D351" s="9">
        <f t="shared" si="29"/>
        <v>349.46116981132076</v>
      </c>
      <c r="E351" s="9">
        <f t="shared" si="28"/>
        <v>10483.835094339624</v>
      </c>
      <c r="F351" s="10">
        <v>28000</v>
      </c>
      <c r="G351" s="9">
        <f t="shared" si="26"/>
        <v>-329.75210000000152</v>
      </c>
      <c r="H351" t="s">
        <v>54</v>
      </c>
    </row>
    <row r="352" spans="1:8" x14ac:dyDescent="0.25">
      <c r="A352" s="6" t="s">
        <v>22</v>
      </c>
      <c r="B352" s="7">
        <v>24860.789400000001</v>
      </c>
      <c r="C352" s="8">
        <v>121600.79</v>
      </c>
      <c r="D352" s="9">
        <f t="shared" si="29"/>
        <v>458.87090566037733</v>
      </c>
      <c r="E352" s="9">
        <f t="shared" si="28"/>
        <v>13766.12716981132</v>
      </c>
      <c r="F352" s="10">
        <v>22000</v>
      </c>
      <c r="G352" s="9">
        <f t="shared" si="26"/>
        <v>-2860.7894000000015</v>
      </c>
      <c r="H352" t="s">
        <v>54</v>
      </c>
    </row>
    <row r="353" spans="1:8" x14ac:dyDescent="0.25">
      <c r="A353" s="6" t="s">
        <v>23</v>
      </c>
      <c r="B353" s="7">
        <v>55732.1423</v>
      </c>
      <c r="C353" s="8">
        <v>292531.52</v>
      </c>
      <c r="D353" s="9">
        <f t="shared" si="29"/>
        <v>1103.8925283018868</v>
      </c>
      <c r="E353" s="9">
        <f t="shared" si="28"/>
        <v>33116.775849056605</v>
      </c>
      <c r="F353" s="10">
        <v>55000</v>
      </c>
      <c r="G353" s="9">
        <f t="shared" si="26"/>
        <v>-732.14229999999952</v>
      </c>
      <c r="H353" t="s">
        <v>54</v>
      </c>
    </row>
    <row r="354" spans="1:8" x14ac:dyDescent="0.25">
      <c r="A354" s="6" t="s">
        <v>26</v>
      </c>
      <c r="B354" s="7">
        <v>11452.8377</v>
      </c>
      <c r="C354" s="8">
        <v>34393.68</v>
      </c>
      <c r="D354" s="9">
        <f t="shared" si="29"/>
        <v>129.78747169811322</v>
      </c>
      <c r="E354" s="9">
        <f t="shared" si="28"/>
        <v>3893.6241509433967</v>
      </c>
      <c r="F354" s="10">
        <v>11000</v>
      </c>
      <c r="G354" s="9">
        <f t="shared" si="26"/>
        <v>-452.83770000000004</v>
      </c>
      <c r="H354" t="s">
        <v>54</v>
      </c>
    </row>
    <row r="355" spans="1:8" x14ac:dyDescent="0.25">
      <c r="A355" s="6" t="s">
        <v>27</v>
      </c>
      <c r="B355" s="7">
        <v>17766.824100000002</v>
      </c>
      <c r="C355" s="8">
        <v>74092.69</v>
      </c>
      <c r="D355" s="9">
        <f t="shared" si="29"/>
        <v>279.59505660377357</v>
      </c>
      <c r="E355" s="9">
        <f t="shared" si="28"/>
        <v>8387.851698113207</v>
      </c>
      <c r="F355" s="10">
        <v>15000</v>
      </c>
      <c r="G355" s="9">
        <f t="shared" si="26"/>
        <v>-2766.8241000000016</v>
      </c>
      <c r="H355" t="s">
        <v>54</v>
      </c>
    </row>
    <row r="356" spans="1:8" x14ac:dyDescent="0.25">
      <c r="A356" s="6" t="s">
        <v>28</v>
      </c>
      <c r="B356" s="7">
        <v>14230.8397</v>
      </c>
      <c r="C356" s="8">
        <v>140561.60000000001</v>
      </c>
      <c r="D356" s="9">
        <f t="shared" si="29"/>
        <v>530.42113207547175</v>
      </c>
      <c r="E356" s="9">
        <f t="shared" si="28"/>
        <v>15912.633962264152</v>
      </c>
      <c r="F356" s="10">
        <v>15000</v>
      </c>
      <c r="G356" s="9">
        <f t="shared" si="26"/>
        <v>769.16029999999955</v>
      </c>
      <c r="H356" t="s">
        <v>54</v>
      </c>
    </row>
    <row r="357" spans="1:8" x14ac:dyDescent="0.25">
      <c r="A357" s="6" t="s">
        <v>29</v>
      </c>
      <c r="B357" s="7">
        <v>47807.680099999998</v>
      </c>
      <c r="C357" s="8">
        <v>450013.47</v>
      </c>
      <c r="D357" s="9">
        <f t="shared" si="29"/>
        <v>1698.164037735849</v>
      </c>
      <c r="E357" s="9">
        <f t="shared" si="28"/>
        <v>50944.921132075469</v>
      </c>
      <c r="F357" s="10">
        <v>40000</v>
      </c>
      <c r="G357" s="9">
        <f t="shared" si="26"/>
        <v>-7807.6800999999978</v>
      </c>
      <c r="H357" t="s">
        <v>54</v>
      </c>
    </row>
    <row r="358" spans="1:8" x14ac:dyDescent="0.25">
      <c r="A358" s="6" t="s">
        <v>30</v>
      </c>
      <c r="B358" s="7">
        <v>20810.519747999999</v>
      </c>
      <c r="C358" s="8">
        <v>854920.24080000003</v>
      </c>
      <c r="D358" s="9">
        <f t="shared" si="29"/>
        <v>3226.1141162264153</v>
      </c>
      <c r="E358" s="9">
        <f t="shared" si="28"/>
        <v>96783.423486792453</v>
      </c>
      <c r="F358" s="10">
        <v>22000</v>
      </c>
      <c r="G358" s="9">
        <f t="shared" si="26"/>
        <v>1189.4802520000012</v>
      </c>
      <c r="H358" t="s">
        <v>54</v>
      </c>
    </row>
    <row r="359" spans="1:8" x14ac:dyDescent="0.25">
      <c r="A359" s="6" t="s">
        <v>31</v>
      </c>
      <c r="B359" s="7">
        <v>2224.9166</v>
      </c>
      <c r="C359" s="8">
        <v>27384.3</v>
      </c>
      <c r="D359" s="9">
        <f t="shared" si="29"/>
        <v>103.33698113207546</v>
      </c>
      <c r="E359" s="9">
        <f t="shared" si="28"/>
        <v>3100.1094339622641</v>
      </c>
      <c r="F359" s="10">
        <v>1500</v>
      </c>
      <c r="G359" s="9">
        <f t="shared" ref="G359:G394" si="30">F359-B359</f>
        <v>-724.91660000000002</v>
      </c>
      <c r="H359" t="s">
        <v>54</v>
      </c>
    </row>
    <row r="360" spans="1:8" x14ac:dyDescent="0.25">
      <c r="A360" s="6" t="s">
        <v>32</v>
      </c>
      <c r="B360" s="7">
        <v>14875.1062</v>
      </c>
      <c r="C360" s="8">
        <v>41890.019999999997</v>
      </c>
      <c r="D360" s="9">
        <f t="shared" si="29"/>
        <v>158.0755471698113</v>
      </c>
      <c r="E360" s="9">
        <f t="shared" si="28"/>
        <v>4742.2664150943392</v>
      </c>
      <c r="F360" s="10">
        <v>12000</v>
      </c>
      <c r="G360" s="9">
        <f t="shared" si="30"/>
        <v>-2875.1062000000002</v>
      </c>
      <c r="H360" t="s">
        <v>54</v>
      </c>
    </row>
    <row r="361" spans="1:8" x14ac:dyDescent="0.25">
      <c r="A361" s="6" t="s">
        <v>33</v>
      </c>
      <c r="B361" s="7">
        <v>14250.3207</v>
      </c>
      <c r="C361" s="8">
        <v>357100.43</v>
      </c>
      <c r="D361" s="9">
        <f t="shared" si="29"/>
        <v>1347.5487924528302</v>
      </c>
      <c r="E361" s="9">
        <f t="shared" si="28"/>
        <v>40426.463773584903</v>
      </c>
      <c r="F361" s="10">
        <v>2000</v>
      </c>
      <c r="G361" s="9">
        <f t="shared" si="30"/>
        <v>-12250.3207</v>
      </c>
      <c r="H361" t="s">
        <v>54</v>
      </c>
    </row>
    <row r="362" spans="1:8" x14ac:dyDescent="0.25">
      <c r="A362" s="6" t="s">
        <v>34</v>
      </c>
      <c r="B362" s="7">
        <v>2464.8411999999998</v>
      </c>
      <c r="C362" s="8">
        <v>8570.7900000000009</v>
      </c>
      <c r="D362" s="9">
        <f t="shared" si="29"/>
        <v>32.342603773584912</v>
      </c>
      <c r="E362" s="9">
        <f t="shared" si="28"/>
        <v>970.27811320754734</v>
      </c>
      <c r="F362" s="10">
        <v>2000</v>
      </c>
      <c r="G362" s="9">
        <f t="shared" si="30"/>
        <v>-464.84119999999984</v>
      </c>
      <c r="H362" t="s">
        <v>54</v>
      </c>
    </row>
    <row r="363" spans="1:8" x14ac:dyDescent="0.25">
      <c r="A363" s="6" t="s">
        <v>35</v>
      </c>
      <c r="B363" s="7">
        <v>22419.907299999999</v>
      </c>
      <c r="C363" s="8">
        <v>138867.6</v>
      </c>
      <c r="D363" s="9">
        <f t="shared" si="29"/>
        <v>524.028679245283</v>
      </c>
      <c r="E363" s="9">
        <f t="shared" si="28"/>
        <v>15720.860377358491</v>
      </c>
      <c r="F363" s="10">
        <v>10000</v>
      </c>
      <c r="G363" s="9">
        <f t="shared" si="30"/>
        <v>-12419.907299999999</v>
      </c>
      <c r="H363" t="s">
        <v>54</v>
      </c>
    </row>
    <row r="364" spans="1:8" x14ac:dyDescent="0.25">
      <c r="A364" s="6" t="s">
        <v>36</v>
      </c>
      <c r="B364" s="7">
        <v>12355.668900000001</v>
      </c>
      <c r="C364" s="8">
        <v>41554</v>
      </c>
      <c r="D364" s="9">
        <f t="shared" si="29"/>
        <v>156.80754716981133</v>
      </c>
      <c r="E364" s="9">
        <f t="shared" si="28"/>
        <v>4704.2264150943402</v>
      </c>
      <c r="F364" s="10">
        <v>13000</v>
      </c>
      <c r="G364" s="9">
        <f t="shared" si="30"/>
        <v>644.33109999999942</v>
      </c>
      <c r="H364" t="s">
        <v>54</v>
      </c>
    </row>
    <row r="365" spans="1:8" x14ac:dyDescent="0.25">
      <c r="A365" s="6" t="s">
        <v>37</v>
      </c>
      <c r="B365" s="7">
        <v>25242.5664</v>
      </c>
      <c r="C365" s="8">
        <v>51342.27</v>
      </c>
      <c r="D365" s="9">
        <f t="shared" si="29"/>
        <v>193.74441509433962</v>
      </c>
      <c r="E365" s="9">
        <f t="shared" si="28"/>
        <v>5812.3324528301882</v>
      </c>
      <c r="F365" s="10">
        <v>26000</v>
      </c>
      <c r="G365" s="9">
        <f t="shared" si="30"/>
        <v>757.4336000000003</v>
      </c>
      <c r="H365" t="s">
        <v>54</v>
      </c>
    </row>
    <row r="366" spans="1:8" x14ac:dyDescent="0.25">
      <c r="A366" s="15" t="s">
        <v>8</v>
      </c>
      <c r="B366" s="11">
        <v>6628.4781999999996</v>
      </c>
      <c r="C366" s="12">
        <v>200960.79</v>
      </c>
      <c r="D366" s="9">
        <f>C366/265</f>
        <v>758.34260377358498</v>
      </c>
      <c r="E366" s="9">
        <f>D366*30</f>
        <v>22750.278113207551</v>
      </c>
      <c r="F366" s="13">
        <v>6000</v>
      </c>
      <c r="G366" s="9">
        <f t="shared" si="30"/>
        <v>-628.47819999999956</v>
      </c>
      <c r="H366" t="s">
        <v>55</v>
      </c>
    </row>
    <row r="367" spans="1:8" x14ac:dyDescent="0.25">
      <c r="A367" s="15" t="s">
        <v>10</v>
      </c>
      <c r="B367" s="11">
        <v>34943.066500000001</v>
      </c>
      <c r="C367" s="12">
        <v>321391.84999999998</v>
      </c>
      <c r="D367" s="9">
        <f t="shared" ref="D367:D393" si="31">C367/265</f>
        <v>1212.7994339622642</v>
      </c>
      <c r="E367" s="9">
        <f t="shared" ref="E367:E393" si="32">D367*30</f>
        <v>36383.983018867926</v>
      </c>
      <c r="F367" s="13">
        <v>30000</v>
      </c>
      <c r="G367" s="9">
        <f t="shared" si="30"/>
        <v>-4943.0665000000008</v>
      </c>
      <c r="H367" t="s">
        <v>55</v>
      </c>
    </row>
    <row r="368" spans="1:8" x14ac:dyDescent="0.25">
      <c r="A368" s="15" t="s">
        <v>11</v>
      </c>
      <c r="B368" s="11">
        <v>4121.4497709999996</v>
      </c>
      <c r="C368" s="12">
        <v>1071411.314</v>
      </c>
      <c r="D368" s="9">
        <f t="shared" si="31"/>
        <v>4043.0615622641508</v>
      </c>
      <c r="E368" s="9">
        <f t="shared" si="32"/>
        <v>121291.84686792453</v>
      </c>
      <c r="F368" s="13">
        <v>4000</v>
      </c>
      <c r="G368" s="9">
        <f t="shared" si="30"/>
        <v>-121.4497709999996</v>
      </c>
      <c r="H368" t="s">
        <v>55</v>
      </c>
    </row>
    <row r="369" spans="1:8" x14ac:dyDescent="0.25">
      <c r="A369" s="15" t="s">
        <v>12</v>
      </c>
      <c r="B369" s="11">
        <v>44604.845699999998</v>
      </c>
      <c r="C369" s="12">
        <v>1426997.7027</v>
      </c>
      <c r="D369" s="9">
        <f t="shared" si="31"/>
        <v>5384.8969913207548</v>
      </c>
      <c r="E369" s="9">
        <f t="shared" si="32"/>
        <v>161546.90973962264</v>
      </c>
      <c r="F369" s="13">
        <v>50000</v>
      </c>
      <c r="G369" s="9">
        <f t="shared" si="30"/>
        <v>5395.154300000002</v>
      </c>
      <c r="H369" t="s">
        <v>55</v>
      </c>
    </row>
    <row r="370" spans="1:8" x14ac:dyDescent="0.25">
      <c r="A370" s="16" t="s">
        <v>40</v>
      </c>
      <c r="B370" s="11">
        <v>-73.177499999999995</v>
      </c>
      <c r="C370" s="12">
        <v>88265.89</v>
      </c>
      <c r="D370" s="9">
        <f t="shared" si="31"/>
        <v>333.07883018867926</v>
      </c>
      <c r="E370" s="9">
        <f t="shared" si="32"/>
        <v>9992.3649056603772</v>
      </c>
      <c r="F370" s="13">
        <v>250</v>
      </c>
      <c r="G370" s="9">
        <f t="shared" si="30"/>
        <v>323.17750000000001</v>
      </c>
      <c r="H370" t="s">
        <v>55</v>
      </c>
    </row>
    <row r="371" spans="1:8" x14ac:dyDescent="0.25">
      <c r="A371" s="15" t="s">
        <v>13</v>
      </c>
      <c r="B371" s="11">
        <v>26010.5952</v>
      </c>
      <c r="C371" s="12">
        <v>16561.84</v>
      </c>
      <c r="D371" s="9">
        <f t="shared" si="31"/>
        <v>62.497509433962264</v>
      </c>
      <c r="E371" s="9">
        <f t="shared" si="32"/>
        <v>1874.925283018868</v>
      </c>
      <c r="F371" s="13">
        <v>10000</v>
      </c>
      <c r="G371" s="9">
        <f t="shared" si="30"/>
        <v>-16010.5952</v>
      </c>
      <c r="H371" t="s">
        <v>55</v>
      </c>
    </row>
    <row r="372" spans="1:8" x14ac:dyDescent="0.25">
      <c r="A372" s="15" t="s">
        <v>14</v>
      </c>
      <c r="B372" s="11">
        <v>-4.6568399999999999</v>
      </c>
      <c r="C372" s="12">
        <v>368479.97110000002</v>
      </c>
      <c r="D372" s="9">
        <f t="shared" si="31"/>
        <v>1390.4904569811322</v>
      </c>
      <c r="E372" s="9">
        <f t="shared" si="32"/>
        <v>41714.713709433963</v>
      </c>
      <c r="F372" s="13">
        <v>1000</v>
      </c>
      <c r="G372" s="9">
        <f t="shared" si="30"/>
        <v>1004.65684</v>
      </c>
      <c r="H372" t="s">
        <v>55</v>
      </c>
    </row>
    <row r="373" spans="1:8" x14ac:dyDescent="0.25">
      <c r="A373" s="15" t="s">
        <v>15</v>
      </c>
      <c r="B373" s="11">
        <v>463583.77723100001</v>
      </c>
      <c r="C373" s="12">
        <v>2508396.3717999998</v>
      </c>
      <c r="D373" s="9">
        <f t="shared" si="31"/>
        <v>9465.646686037735</v>
      </c>
      <c r="E373" s="9">
        <f t="shared" si="32"/>
        <v>283969.40058113204</v>
      </c>
      <c r="F373" s="13">
        <v>430000</v>
      </c>
      <c r="G373" s="9">
        <f t="shared" si="30"/>
        <v>-33583.777231000015</v>
      </c>
      <c r="H373" t="s">
        <v>55</v>
      </c>
    </row>
    <row r="374" spans="1:8" x14ac:dyDescent="0.25">
      <c r="A374" s="15" t="s">
        <v>16</v>
      </c>
      <c r="B374" s="11">
        <v>181623.8725</v>
      </c>
      <c r="C374" s="12">
        <v>544962.6</v>
      </c>
      <c r="D374" s="9">
        <f t="shared" si="31"/>
        <v>2056.462641509434</v>
      </c>
      <c r="E374" s="9">
        <f t="shared" si="32"/>
        <v>61693.879245283017</v>
      </c>
      <c r="F374" s="13">
        <v>135000</v>
      </c>
      <c r="G374" s="9">
        <f t="shared" si="30"/>
        <v>-46623.872499999998</v>
      </c>
      <c r="H374" t="s">
        <v>55</v>
      </c>
    </row>
    <row r="375" spans="1:8" x14ac:dyDescent="0.25">
      <c r="A375" s="15" t="s">
        <v>17</v>
      </c>
      <c r="B375" s="11">
        <v>1631.1278</v>
      </c>
      <c r="C375" s="12">
        <v>3403.42</v>
      </c>
      <c r="D375" s="9">
        <f t="shared" si="31"/>
        <v>12.843094339622642</v>
      </c>
      <c r="E375" s="9">
        <f t="shared" si="32"/>
        <v>385.29283018867926</v>
      </c>
      <c r="F375" s="13">
        <v>1500</v>
      </c>
      <c r="G375" s="9">
        <f t="shared" si="30"/>
        <v>-131.12779999999998</v>
      </c>
      <c r="H375" t="s">
        <v>55</v>
      </c>
    </row>
    <row r="376" spans="1:8" x14ac:dyDescent="0.25">
      <c r="A376" s="15" t="s">
        <v>18</v>
      </c>
      <c r="B376" s="11">
        <v>49664.8197</v>
      </c>
      <c r="C376" s="12">
        <v>477239.01</v>
      </c>
      <c r="D376" s="9">
        <f t="shared" si="31"/>
        <v>1800.9019245283018</v>
      </c>
      <c r="E376" s="9">
        <f t="shared" si="32"/>
        <v>54027.057735849055</v>
      </c>
      <c r="F376" s="13">
        <v>50000</v>
      </c>
      <c r="G376" s="9">
        <f t="shared" si="30"/>
        <v>335.18029999999999</v>
      </c>
      <c r="H376" t="s">
        <v>55</v>
      </c>
    </row>
    <row r="377" spans="1:8" x14ac:dyDescent="0.25">
      <c r="A377" s="15" t="s">
        <v>19</v>
      </c>
      <c r="B377" s="11">
        <v>21236.872057</v>
      </c>
      <c r="C377" s="12">
        <v>3109681.1184999999</v>
      </c>
      <c r="D377" s="9">
        <f t="shared" si="31"/>
        <v>11734.645730188678</v>
      </c>
      <c r="E377" s="9">
        <f t="shared" si="32"/>
        <v>352039.37190566037</v>
      </c>
      <c r="F377" s="13">
        <v>20000</v>
      </c>
      <c r="G377" s="9">
        <f t="shared" si="30"/>
        <v>-1236.8720570000005</v>
      </c>
      <c r="H377" t="s">
        <v>55</v>
      </c>
    </row>
    <row r="378" spans="1:8" x14ac:dyDescent="0.25">
      <c r="A378" s="15" t="s">
        <v>20</v>
      </c>
      <c r="B378" s="11">
        <v>8340.8523999999998</v>
      </c>
      <c r="C378" s="12">
        <v>3359.77</v>
      </c>
      <c r="D378" s="9">
        <f t="shared" si="31"/>
        <v>12.678377358490566</v>
      </c>
      <c r="E378" s="9">
        <f t="shared" si="32"/>
        <v>380.35132075471699</v>
      </c>
      <c r="F378" s="13">
        <v>5000</v>
      </c>
      <c r="G378" s="9">
        <f t="shared" si="30"/>
        <v>-3340.8523999999998</v>
      </c>
      <c r="H378" t="s">
        <v>55</v>
      </c>
    </row>
    <row r="379" spans="1:8" x14ac:dyDescent="0.25">
      <c r="A379" s="15" t="s">
        <v>21</v>
      </c>
      <c r="B379" s="11">
        <v>13534.443499999999</v>
      </c>
      <c r="C379" s="12">
        <v>16003.7</v>
      </c>
      <c r="D379" s="9">
        <f t="shared" si="31"/>
        <v>60.391320754716986</v>
      </c>
      <c r="E379" s="9">
        <f t="shared" si="32"/>
        <v>1811.7396226415096</v>
      </c>
      <c r="F379" s="13">
        <v>7000</v>
      </c>
      <c r="G379" s="9">
        <f t="shared" si="30"/>
        <v>-6534.4434999999994</v>
      </c>
      <c r="H379" t="s">
        <v>55</v>
      </c>
    </row>
    <row r="380" spans="1:8" x14ac:dyDescent="0.25">
      <c r="A380" s="15" t="s">
        <v>22</v>
      </c>
      <c r="B380" s="11">
        <v>6276.1553999999996</v>
      </c>
      <c r="C380" s="12">
        <v>6719.89</v>
      </c>
      <c r="D380" s="9">
        <f t="shared" si="31"/>
        <v>25.358075471698115</v>
      </c>
      <c r="E380" s="9">
        <f t="shared" si="32"/>
        <v>760.74226415094347</v>
      </c>
      <c r="F380" s="13">
        <v>3000</v>
      </c>
      <c r="G380" s="9">
        <f t="shared" si="30"/>
        <v>-3276.1553999999996</v>
      </c>
      <c r="H380" t="s">
        <v>55</v>
      </c>
    </row>
    <row r="381" spans="1:8" x14ac:dyDescent="0.25">
      <c r="A381" s="15" t="s">
        <v>23</v>
      </c>
      <c r="B381" s="11">
        <v>83954.001850000001</v>
      </c>
      <c r="C381" s="12">
        <v>172065.41</v>
      </c>
      <c r="D381" s="9">
        <f t="shared" si="31"/>
        <v>649.30343396226419</v>
      </c>
      <c r="E381" s="9">
        <f t="shared" si="32"/>
        <v>19479.103018867925</v>
      </c>
      <c r="F381" s="13">
        <v>45000</v>
      </c>
      <c r="G381" s="9">
        <f t="shared" si="30"/>
        <v>-38954.001850000001</v>
      </c>
      <c r="H381" t="s">
        <v>55</v>
      </c>
    </row>
    <row r="382" spans="1:8" x14ac:dyDescent="0.25">
      <c r="A382" s="15" t="s">
        <v>25</v>
      </c>
      <c r="B382" s="11">
        <v>86.395200000000003</v>
      </c>
      <c r="C382" s="12">
        <v>15.24</v>
      </c>
      <c r="D382" s="9">
        <f t="shared" si="31"/>
        <v>5.7509433962264149E-2</v>
      </c>
      <c r="E382" s="9">
        <f t="shared" si="32"/>
        <v>1.7252830188679245</v>
      </c>
      <c r="F382" s="13">
        <v>0</v>
      </c>
      <c r="G382" s="9">
        <f t="shared" si="30"/>
        <v>-86.395200000000003</v>
      </c>
      <c r="H382" t="s">
        <v>55</v>
      </c>
    </row>
    <row r="383" spans="1:8" x14ac:dyDescent="0.25">
      <c r="A383" s="15" t="s">
        <v>26</v>
      </c>
      <c r="B383" s="11">
        <v>1664.8751999999999</v>
      </c>
      <c r="C383" s="12">
        <v>1594.46</v>
      </c>
      <c r="D383" s="9">
        <f t="shared" si="31"/>
        <v>6.0168301886792452</v>
      </c>
      <c r="E383" s="9">
        <f t="shared" si="32"/>
        <v>180.50490566037735</v>
      </c>
      <c r="F383" s="13">
        <v>1000</v>
      </c>
      <c r="G383" s="9">
        <f t="shared" si="30"/>
        <v>-664.87519999999995</v>
      </c>
      <c r="H383" t="s">
        <v>55</v>
      </c>
    </row>
    <row r="384" spans="1:8" x14ac:dyDescent="0.25">
      <c r="A384" s="15" t="s">
        <v>27</v>
      </c>
      <c r="B384" s="11">
        <v>425.87</v>
      </c>
      <c r="C384" s="12">
        <v>231.38</v>
      </c>
      <c r="D384" s="9">
        <f t="shared" si="31"/>
        <v>0.87313207547169813</v>
      </c>
      <c r="E384" s="9">
        <f t="shared" si="32"/>
        <v>26.193962264150944</v>
      </c>
      <c r="F384" s="13">
        <v>1000</v>
      </c>
      <c r="G384" s="9">
        <f t="shared" si="30"/>
        <v>574.13</v>
      </c>
      <c r="H384" t="s">
        <v>55</v>
      </c>
    </row>
    <row r="385" spans="1:8" x14ac:dyDescent="0.25">
      <c r="A385" s="15" t="s">
        <v>28</v>
      </c>
      <c r="B385" s="11">
        <v>9126.7890000000007</v>
      </c>
      <c r="C385" s="12">
        <v>28700.5</v>
      </c>
      <c r="D385" s="9">
        <f t="shared" si="31"/>
        <v>108.30377358490566</v>
      </c>
      <c r="E385" s="9">
        <f t="shared" si="32"/>
        <v>3249.1132075471696</v>
      </c>
      <c r="F385" s="13">
        <v>7500</v>
      </c>
      <c r="G385" s="9">
        <f t="shared" si="30"/>
        <v>-1626.7890000000007</v>
      </c>
      <c r="H385" t="s">
        <v>55</v>
      </c>
    </row>
    <row r="386" spans="1:8" x14ac:dyDescent="0.25">
      <c r="A386" s="15" t="s">
        <v>29</v>
      </c>
      <c r="B386" s="11">
        <v>444.1</v>
      </c>
      <c r="C386" s="12">
        <v>120.59</v>
      </c>
      <c r="D386" s="9">
        <f t="shared" si="31"/>
        <v>0.45505660377358492</v>
      </c>
      <c r="E386" s="9">
        <f t="shared" si="32"/>
        <v>13.651698113207548</v>
      </c>
      <c r="F386" s="13">
        <v>0</v>
      </c>
      <c r="G386" s="9">
        <f t="shared" si="30"/>
        <v>-444.1</v>
      </c>
      <c r="H386" t="s">
        <v>55</v>
      </c>
    </row>
    <row r="387" spans="1:8" x14ac:dyDescent="0.25">
      <c r="A387" s="15" t="s">
        <v>30</v>
      </c>
      <c r="B387" s="11">
        <v>11618.438958999999</v>
      </c>
      <c r="C387" s="12">
        <v>345934.44410000002</v>
      </c>
      <c r="D387" s="9">
        <f t="shared" si="31"/>
        <v>1305.4129966037738</v>
      </c>
      <c r="E387" s="9">
        <f t="shared" si="32"/>
        <v>39162.389898113215</v>
      </c>
      <c r="F387" s="13">
        <v>12000</v>
      </c>
      <c r="G387" s="9">
        <f t="shared" si="30"/>
        <v>381.56104100000084</v>
      </c>
      <c r="H387" t="s">
        <v>55</v>
      </c>
    </row>
    <row r="388" spans="1:8" x14ac:dyDescent="0.25">
      <c r="A388" s="15" t="s">
        <v>31</v>
      </c>
      <c r="B388" s="11">
        <v>3572.4436000000001</v>
      </c>
      <c r="C388" s="12">
        <v>109103.48</v>
      </c>
      <c r="D388" s="9">
        <f t="shared" si="31"/>
        <v>411.71124528301885</v>
      </c>
      <c r="E388" s="9">
        <f t="shared" si="32"/>
        <v>12351.337358490566</v>
      </c>
      <c r="F388" s="13">
        <v>1000</v>
      </c>
      <c r="G388" s="9">
        <f t="shared" si="30"/>
        <v>-2572.4436000000001</v>
      </c>
      <c r="H388" t="s">
        <v>55</v>
      </c>
    </row>
    <row r="389" spans="1:8" x14ac:dyDescent="0.25">
      <c r="A389" s="15" t="s">
        <v>32</v>
      </c>
      <c r="B389" s="11">
        <v>14916.858174000001</v>
      </c>
      <c r="C389" s="12">
        <v>15678.18</v>
      </c>
      <c r="D389" s="9">
        <f t="shared" si="31"/>
        <v>59.162943396226417</v>
      </c>
      <c r="E389" s="9">
        <f t="shared" si="32"/>
        <v>1774.8883018867925</v>
      </c>
      <c r="F389" s="13">
        <v>5000</v>
      </c>
      <c r="G389" s="9">
        <f t="shared" si="30"/>
        <v>-9916.8581740000009</v>
      </c>
      <c r="H389" t="s">
        <v>55</v>
      </c>
    </row>
    <row r="390" spans="1:8" x14ac:dyDescent="0.25">
      <c r="A390" s="15" t="s">
        <v>33</v>
      </c>
      <c r="B390" s="11">
        <v>4314.9512999999997</v>
      </c>
      <c r="C390" s="12">
        <v>83512.98</v>
      </c>
      <c r="D390" s="9">
        <f t="shared" si="31"/>
        <v>315.14332075471697</v>
      </c>
      <c r="E390" s="9">
        <f t="shared" si="32"/>
        <v>9454.2996226415089</v>
      </c>
      <c r="F390" s="13">
        <v>1000</v>
      </c>
      <c r="G390" s="9">
        <f t="shared" si="30"/>
        <v>-3314.9512999999997</v>
      </c>
      <c r="H390" t="s">
        <v>55</v>
      </c>
    </row>
    <row r="391" spans="1:8" x14ac:dyDescent="0.25">
      <c r="A391" s="15" t="s">
        <v>34</v>
      </c>
      <c r="B391" s="11">
        <v>30</v>
      </c>
      <c r="C391" s="12">
        <v>23.81</v>
      </c>
      <c r="D391" s="9">
        <f t="shared" si="31"/>
        <v>8.9849056603773583E-2</v>
      </c>
      <c r="E391" s="9">
        <f t="shared" si="32"/>
        <v>2.6954716981132076</v>
      </c>
      <c r="F391" s="13">
        <v>0</v>
      </c>
      <c r="G391" s="9">
        <f t="shared" si="30"/>
        <v>-30</v>
      </c>
      <c r="H391" t="s">
        <v>55</v>
      </c>
    </row>
    <row r="392" spans="1:8" x14ac:dyDescent="0.25">
      <c r="A392" s="15" t="s">
        <v>35</v>
      </c>
      <c r="B392" s="11">
        <v>2753.9776999999999</v>
      </c>
      <c r="C392" s="12">
        <v>34535.760000000002</v>
      </c>
      <c r="D392" s="9">
        <f t="shared" si="31"/>
        <v>130.32362264150944</v>
      </c>
      <c r="E392" s="9">
        <f t="shared" si="32"/>
        <v>3909.7086792452833</v>
      </c>
      <c r="F392" s="13">
        <v>2000</v>
      </c>
      <c r="G392" s="9">
        <f t="shared" si="30"/>
        <v>-753.97769999999991</v>
      </c>
      <c r="H392" t="s">
        <v>55</v>
      </c>
    </row>
    <row r="393" spans="1:8" x14ac:dyDescent="0.25">
      <c r="A393" s="15" t="s">
        <v>36</v>
      </c>
      <c r="B393" s="11">
        <v>1541.6774</v>
      </c>
      <c r="C393" s="12">
        <v>2320.4299999999998</v>
      </c>
      <c r="D393" s="9">
        <f t="shared" si="31"/>
        <v>8.7563396226415087</v>
      </c>
      <c r="E393" s="9">
        <f t="shared" si="32"/>
        <v>262.69018867924524</v>
      </c>
      <c r="F393" s="13">
        <v>1500</v>
      </c>
      <c r="G393" s="9">
        <f t="shared" si="30"/>
        <v>-41.677400000000034</v>
      </c>
      <c r="H393" t="s">
        <v>55</v>
      </c>
    </row>
    <row r="394" spans="1:8" x14ac:dyDescent="0.25">
      <c r="A394" s="15" t="s">
        <v>37</v>
      </c>
      <c r="B394" s="11">
        <v>227.3</v>
      </c>
      <c r="C394" s="12">
        <v>88.58</v>
      </c>
      <c r="D394" s="9">
        <f>C394/265</f>
        <v>0.33426415094339623</v>
      </c>
      <c r="E394" s="9">
        <f>D394*30</f>
        <v>10.027924528301886</v>
      </c>
      <c r="F394" s="13">
        <v>500</v>
      </c>
      <c r="G394" s="9">
        <f t="shared" si="30"/>
        <v>272.7</v>
      </c>
      <c r="H394" t="s">
        <v>55</v>
      </c>
    </row>
    <row r="395" spans="1:8" x14ac:dyDescent="0.25">
      <c r="A395" s="6" t="s">
        <v>8</v>
      </c>
      <c r="B395" s="7">
        <v>7912.6486000000004</v>
      </c>
      <c r="C395" s="8">
        <v>445530.31</v>
      </c>
      <c r="D395" s="9">
        <f t="shared" ref="D395:D421" si="33">C395/265</f>
        <v>1681.2464528301887</v>
      </c>
      <c r="E395" s="9">
        <f>D395*30</f>
        <v>50437.393584905658</v>
      </c>
      <c r="F395" s="10">
        <v>7500</v>
      </c>
      <c r="G395" s="9">
        <f>F395-B395</f>
        <v>-412.64860000000044</v>
      </c>
      <c r="H395" t="s">
        <v>43</v>
      </c>
    </row>
    <row r="396" spans="1:8" x14ac:dyDescent="0.25">
      <c r="A396" s="6" t="s">
        <v>10</v>
      </c>
      <c r="B396" s="7">
        <v>31587.271199999999</v>
      </c>
      <c r="C396" s="8">
        <v>430855.15</v>
      </c>
      <c r="D396" s="9">
        <f t="shared" si="33"/>
        <v>1625.8684905660377</v>
      </c>
      <c r="E396" s="9">
        <f t="shared" ref="E396:E421" si="34">D396*30</f>
        <v>48776.054716981133</v>
      </c>
      <c r="F396" s="10">
        <v>19000</v>
      </c>
      <c r="G396" s="9">
        <f t="shared" ref="G396:G421" si="35">F396-B396</f>
        <v>-12587.271199999999</v>
      </c>
      <c r="H396" t="s">
        <v>43</v>
      </c>
    </row>
    <row r="397" spans="1:8" x14ac:dyDescent="0.25">
      <c r="A397" s="6" t="s">
        <v>11</v>
      </c>
      <c r="B397" s="7">
        <v>9113.8321890000007</v>
      </c>
      <c r="C397" s="8">
        <v>892582.09499999997</v>
      </c>
      <c r="D397" s="9">
        <f t="shared" si="33"/>
        <v>3368.2343207547169</v>
      </c>
      <c r="E397" s="9">
        <f t="shared" si="34"/>
        <v>101047.02962264151</v>
      </c>
      <c r="F397" s="10">
        <v>5000</v>
      </c>
      <c r="G397" s="9">
        <f t="shared" si="35"/>
        <v>-4113.8321890000007</v>
      </c>
      <c r="H397" t="s">
        <v>43</v>
      </c>
    </row>
    <row r="398" spans="1:8" x14ac:dyDescent="0.25">
      <c r="A398" s="6" t="s">
        <v>12</v>
      </c>
      <c r="B398" s="7">
        <v>16544.175500000001</v>
      </c>
      <c r="C398" s="8">
        <v>837429.01</v>
      </c>
      <c r="D398" s="9">
        <f t="shared" si="33"/>
        <v>3160.1094716981133</v>
      </c>
      <c r="E398" s="9">
        <f t="shared" si="34"/>
        <v>94803.284150943393</v>
      </c>
      <c r="F398" s="10">
        <v>16000</v>
      </c>
      <c r="G398" s="9">
        <f t="shared" si="35"/>
        <v>-544.17550000000119</v>
      </c>
      <c r="H398" t="s">
        <v>43</v>
      </c>
    </row>
    <row r="399" spans="1:8" x14ac:dyDescent="0.25">
      <c r="A399" s="6" t="s">
        <v>13</v>
      </c>
      <c r="B399" s="7">
        <v>49835.284</v>
      </c>
      <c r="C399" s="8">
        <v>75478.22</v>
      </c>
      <c r="D399" s="9">
        <f t="shared" si="33"/>
        <v>284.82347169811322</v>
      </c>
      <c r="E399" s="9">
        <f t="shared" si="34"/>
        <v>8544.7041509433966</v>
      </c>
      <c r="F399" s="10">
        <v>25000</v>
      </c>
      <c r="G399" s="9">
        <f t="shared" si="35"/>
        <v>-24835.284</v>
      </c>
      <c r="H399" t="s">
        <v>43</v>
      </c>
    </row>
    <row r="400" spans="1:8" x14ac:dyDescent="0.25">
      <c r="A400" s="6" t="s">
        <v>14</v>
      </c>
      <c r="B400" s="7">
        <v>3448.0796359999999</v>
      </c>
      <c r="C400" s="8">
        <v>365525.28</v>
      </c>
      <c r="D400" s="9">
        <f t="shared" si="33"/>
        <v>1379.3406792452831</v>
      </c>
      <c r="E400" s="9">
        <f t="shared" si="34"/>
        <v>41380.220377358492</v>
      </c>
      <c r="F400" s="10">
        <v>3000</v>
      </c>
      <c r="G400" s="9">
        <f t="shared" si="35"/>
        <v>-448.07963599999994</v>
      </c>
      <c r="H400" t="s">
        <v>43</v>
      </c>
    </row>
    <row r="401" spans="1:8" x14ac:dyDescent="0.25">
      <c r="A401" s="6" t="s">
        <v>15</v>
      </c>
      <c r="B401" s="7">
        <v>291529.62569999998</v>
      </c>
      <c r="C401" s="8">
        <v>2816768.99</v>
      </c>
      <c r="D401" s="9">
        <f t="shared" si="33"/>
        <v>10629.316943396227</v>
      </c>
      <c r="E401" s="9">
        <f t="shared" si="34"/>
        <v>318879.50830188679</v>
      </c>
      <c r="F401" s="10">
        <v>300000</v>
      </c>
      <c r="G401" s="9">
        <f t="shared" si="35"/>
        <v>8470.374300000025</v>
      </c>
      <c r="H401" t="s">
        <v>43</v>
      </c>
    </row>
    <row r="402" spans="1:8" x14ac:dyDescent="0.25">
      <c r="A402" s="6" t="s">
        <v>16</v>
      </c>
      <c r="B402" s="7">
        <v>232994.78289999999</v>
      </c>
      <c r="C402" s="8">
        <v>921918.22</v>
      </c>
      <c r="D402" s="9">
        <f t="shared" si="33"/>
        <v>3478.9366792452829</v>
      </c>
      <c r="E402" s="9">
        <f t="shared" si="34"/>
        <v>104368.10037735848</v>
      </c>
      <c r="F402" s="10">
        <v>200000</v>
      </c>
      <c r="G402" s="9">
        <f t="shared" si="35"/>
        <v>-32994.782899999991</v>
      </c>
      <c r="H402" t="s">
        <v>43</v>
      </c>
    </row>
    <row r="403" spans="1:8" x14ac:dyDescent="0.25">
      <c r="A403" s="6" t="s">
        <v>17</v>
      </c>
      <c r="B403" s="7">
        <v>24363.917300000001</v>
      </c>
      <c r="C403" s="8">
        <v>78042.289999999994</v>
      </c>
      <c r="D403" s="9">
        <f t="shared" si="33"/>
        <v>294.49920754716976</v>
      </c>
      <c r="E403" s="9">
        <f t="shared" si="34"/>
        <v>8834.9762264150922</v>
      </c>
      <c r="F403" s="10">
        <v>24000</v>
      </c>
      <c r="G403" s="9">
        <f t="shared" si="35"/>
        <v>-363.91730000000098</v>
      </c>
      <c r="H403" t="s">
        <v>43</v>
      </c>
    </row>
    <row r="404" spans="1:8" x14ac:dyDescent="0.25">
      <c r="A404" s="6" t="s">
        <v>18</v>
      </c>
      <c r="B404" s="7">
        <v>34923.658932999999</v>
      </c>
      <c r="C404" s="8">
        <v>337559.09</v>
      </c>
      <c r="D404" s="9">
        <f t="shared" si="33"/>
        <v>1273.807886792453</v>
      </c>
      <c r="E404" s="9">
        <f t="shared" si="34"/>
        <v>38214.236603773592</v>
      </c>
      <c r="F404" s="10">
        <v>35000</v>
      </c>
      <c r="G404" s="9">
        <f t="shared" si="35"/>
        <v>76.341067000001203</v>
      </c>
      <c r="H404" t="s">
        <v>43</v>
      </c>
    </row>
    <row r="405" spans="1:8" x14ac:dyDescent="0.25">
      <c r="A405" s="6" t="s">
        <v>19</v>
      </c>
      <c r="B405" s="7">
        <v>8338.5729919999994</v>
      </c>
      <c r="C405" s="8">
        <v>2584198.7187000001</v>
      </c>
      <c r="D405" s="9">
        <f t="shared" si="33"/>
        <v>9751.6932781132073</v>
      </c>
      <c r="E405" s="9">
        <f t="shared" si="34"/>
        <v>292550.79834339622</v>
      </c>
      <c r="F405" s="10">
        <v>8500</v>
      </c>
      <c r="G405" s="9">
        <f t="shared" si="35"/>
        <v>161.42700800000057</v>
      </c>
      <c r="H405" t="s">
        <v>43</v>
      </c>
    </row>
    <row r="406" spans="1:8" x14ac:dyDescent="0.25">
      <c r="A406" s="6" t="s">
        <v>20</v>
      </c>
      <c r="B406" s="7">
        <v>63675.9516</v>
      </c>
      <c r="C406" s="8">
        <v>275256.73</v>
      </c>
      <c r="D406" s="9">
        <f t="shared" si="33"/>
        <v>1038.7046415094339</v>
      </c>
      <c r="E406" s="9">
        <f t="shared" si="34"/>
        <v>31161.139245283019</v>
      </c>
      <c r="F406" s="10">
        <v>65000</v>
      </c>
      <c r="G406" s="9">
        <f t="shared" si="35"/>
        <v>1324.0483999999997</v>
      </c>
      <c r="H406" t="s">
        <v>43</v>
      </c>
    </row>
    <row r="407" spans="1:8" x14ac:dyDescent="0.25">
      <c r="A407" s="6" t="s">
        <v>21</v>
      </c>
      <c r="B407" s="7">
        <v>20486.9496</v>
      </c>
      <c r="C407" s="8">
        <v>61777.79</v>
      </c>
      <c r="D407" s="9">
        <f t="shared" si="33"/>
        <v>233.1237358490566</v>
      </c>
      <c r="E407" s="9">
        <f t="shared" si="34"/>
        <v>6993.712075471698</v>
      </c>
      <c r="F407" s="10">
        <v>18000</v>
      </c>
      <c r="G407" s="9">
        <f t="shared" si="35"/>
        <v>-2486.9495999999999</v>
      </c>
      <c r="H407" t="s">
        <v>43</v>
      </c>
    </row>
    <row r="408" spans="1:8" x14ac:dyDescent="0.25">
      <c r="A408" s="6" t="s">
        <v>22</v>
      </c>
      <c r="B408" s="7">
        <v>17452.842199999999</v>
      </c>
      <c r="C408" s="8">
        <v>84467.74</v>
      </c>
      <c r="D408" s="9">
        <f t="shared" si="33"/>
        <v>318.74618867924528</v>
      </c>
      <c r="E408" s="9">
        <f t="shared" si="34"/>
        <v>9562.3856603773584</v>
      </c>
      <c r="F408" s="10">
        <v>15000</v>
      </c>
      <c r="G408" s="9">
        <f t="shared" si="35"/>
        <v>-2452.8421999999991</v>
      </c>
      <c r="H408" t="s">
        <v>43</v>
      </c>
    </row>
    <row r="409" spans="1:8" x14ac:dyDescent="0.25">
      <c r="A409" s="6" t="s">
        <v>23</v>
      </c>
      <c r="B409" s="7">
        <v>85388.367199999993</v>
      </c>
      <c r="C409" s="8">
        <v>359673.51</v>
      </c>
      <c r="D409" s="9">
        <f t="shared" si="33"/>
        <v>1357.2585283018868</v>
      </c>
      <c r="E409" s="9">
        <f t="shared" si="34"/>
        <v>40717.755849056608</v>
      </c>
      <c r="F409" s="10">
        <v>75000</v>
      </c>
      <c r="G409" s="9">
        <f t="shared" si="35"/>
        <v>-10388.367199999993</v>
      </c>
      <c r="H409" t="s">
        <v>43</v>
      </c>
    </row>
    <row r="410" spans="1:8" x14ac:dyDescent="0.25">
      <c r="A410" s="6" t="s">
        <v>26</v>
      </c>
      <c r="B410" s="7">
        <v>7309.3653999999997</v>
      </c>
      <c r="C410" s="8">
        <v>15911.37</v>
      </c>
      <c r="D410" s="9">
        <f t="shared" si="33"/>
        <v>60.042905660377365</v>
      </c>
      <c r="E410" s="9">
        <f t="shared" si="34"/>
        <v>1801.2871698113208</v>
      </c>
      <c r="F410" s="10">
        <v>6000</v>
      </c>
      <c r="G410" s="9">
        <f t="shared" si="35"/>
        <v>-1309.3653999999997</v>
      </c>
      <c r="H410" t="s">
        <v>43</v>
      </c>
    </row>
    <row r="411" spans="1:8" x14ac:dyDescent="0.25">
      <c r="A411" s="6" t="s">
        <v>27</v>
      </c>
      <c r="B411" s="7">
        <v>11983.086799999999</v>
      </c>
      <c r="C411" s="8">
        <v>57244.97</v>
      </c>
      <c r="D411" s="9">
        <f t="shared" si="33"/>
        <v>216.01875471698114</v>
      </c>
      <c r="E411" s="9">
        <f t="shared" si="34"/>
        <v>6480.5626415094339</v>
      </c>
      <c r="F411" s="10">
        <v>12000</v>
      </c>
      <c r="G411" s="9">
        <f t="shared" si="35"/>
        <v>16.91320000000087</v>
      </c>
      <c r="H411" t="s">
        <v>43</v>
      </c>
    </row>
    <row r="412" spans="1:8" x14ac:dyDescent="0.25">
      <c r="A412" s="6" t="s">
        <v>28</v>
      </c>
      <c r="B412" s="7">
        <v>16670.165154999999</v>
      </c>
      <c r="C412" s="8">
        <v>71945.94</v>
      </c>
      <c r="D412" s="9">
        <f t="shared" si="33"/>
        <v>271.49411320754717</v>
      </c>
      <c r="E412" s="9">
        <f t="shared" si="34"/>
        <v>8144.8233962264148</v>
      </c>
      <c r="F412" s="10">
        <v>15000</v>
      </c>
      <c r="G412" s="9">
        <f t="shared" si="35"/>
        <v>-1670.1651549999988</v>
      </c>
      <c r="H412" t="s">
        <v>43</v>
      </c>
    </row>
    <row r="413" spans="1:8" x14ac:dyDescent="0.25">
      <c r="A413" s="6" t="s">
        <v>29</v>
      </c>
      <c r="B413" s="7">
        <v>1224.1065000000001</v>
      </c>
      <c r="C413" s="8">
        <v>-11.42</v>
      </c>
      <c r="D413" s="9">
        <f t="shared" si="33"/>
        <v>-4.309433962264151E-2</v>
      </c>
      <c r="E413" s="9">
        <f t="shared" si="34"/>
        <v>-1.2928301886792453</v>
      </c>
      <c r="F413" s="10">
        <v>0</v>
      </c>
      <c r="G413" s="9">
        <f t="shared" si="35"/>
        <v>-1224.1065000000001</v>
      </c>
      <c r="H413" t="s">
        <v>43</v>
      </c>
    </row>
    <row r="414" spans="1:8" x14ac:dyDescent="0.25">
      <c r="A414" s="6" t="s">
        <v>30</v>
      </c>
      <c r="B414" s="7">
        <v>26446.972830999999</v>
      </c>
      <c r="C414" s="8">
        <v>852467.29610000004</v>
      </c>
      <c r="D414" s="9">
        <f t="shared" si="33"/>
        <v>3216.8577211320758</v>
      </c>
      <c r="E414" s="9">
        <f t="shared" si="34"/>
        <v>96505.731633962278</v>
      </c>
      <c r="F414" s="10">
        <v>26000</v>
      </c>
      <c r="G414" s="9">
        <f t="shared" si="35"/>
        <v>-446.97283099999913</v>
      </c>
      <c r="H414" t="s">
        <v>43</v>
      </c>
    </row>
    <row r="415" spans="1:8" x14ac:dyDescent="0.25">
      <c r="A415" s="6" t="s">
        <v>31</v>
      </c>
      <c r="B415" s="7">
        <v>5189.3269</v>
      </c>
      <c r="C415" s="8">
        <v>132903.16</v>
      </c>
      <c r="D415" s="9">
        <f t="shared" si="33"/>
        <v>501.52135849056606</v>
      </c>
      <c r="E415" s="9">
        <f t="shared" si="34"/>
        <v>15045.640754716982</v>
      </c>
      <c r="F415" s="10">
        <v>1000</v>
      </c>
      <c r="G415" s="9">
        <f t="shared" si="35"/>
        <v>-4189.3269</v>
      </c>
      <c r="H415" t="s">
        <v>43</v>
      </c>
    </row>
    <row r="416" spans="1:8" x14ac:dyDescent="0.25">
      <c r="A416" s="6" t="s">
        <v>32</v>
      </c>
      <c r="B416" s="7">
        <v>16638.219099999998</v>
      </c>
      <c r="C416" s="8">
        <v>36157.03</v>
      </c>
      <c r="D416" s="9">
        <f t="shared" si="33"/>
        <v>136.44162264150944</v>
      </c>
      <c r="E416" s="9">
        <f t="shared" si="34"/>
        <v>4093.2486792452833</v>
      </c>
      <c r="F416" s="10">
        <v>10000</v>
      </c>
      <c r="G416" s="9">
        <f t="shared" si="35"/>
        <v>-6638.2190999999984</v>
      </c>
      <c r="H416" t="s">
        <v>43</v>
      </c>
    </row>
    <row r="417" spans="1:8" x14ac:dyDescent="0.25">
      <c r="A417" s="6" t="s">
        <v>33</v>
      </c>
      <c r="B417" s="7">
        <v>1501.25</v>
      </c>
      <c r="C417" s="8">
        <v>17773.75</v>
      </c>
      <c r="D417" s="9">
        <f t="shared" si="33"/>
        <v>67.070754716981128</v>
      </c>
      <c r="E417" s="9">
        <f t="shared" si="34"/>
        <v>2012.1226415094338</v>
      </c>
      <c r="F417" s="10">
        <v>1500</v>
      </c>
      <c r="G417" s="9">
        <f t="shared" si="35"/>
        <v>-1.25</v>
      </c>
      <c r="H417" t="s">
        <v>43</v>
      </c>
    </row>
    <row r="418" spans="1:8" x14ac:dyDescent="0.25">
      <c r="A418" s="6" t="s">
        <v>34</v>
      </c>
      <c r="B418" s="7">
        <v>1520.3433</v>
      </c>
      <c r="C418" s="8">
        <v>3418.99</v>
      </c>
      <c r="D418" s="9">
        <f t="shared" si="33"/>
        <v>12.901849056603773</v>
      </c>
      <c r="E418" s="9">
        <f t="shared" si="34"/>
        <v>387.05547169811319</v>
      </c>
      <c r="F418" s="10">
        <v>1000</v>
      </c>
      <c r="G418" s="9">
        <f t="shared" si="35"/>
        <v>-520.3433</v>
      </c>
      <c r="H418" t="s">
        <v>43</v>
      </c>
    </row>
    <row r="419" spans="1:8" x14ac:dyDescent="0.25">
      <c r="A419" s="6" t="s">
        <v>35</v>
      </c>
      <c r="B419" s="7">
        <v>7167.7120000000004</v>
      </c>
      <c r="C419" s="8">
        <v>60347.98</v>
      </c>
      <c r="D419" s="9">
        <f t="shared" si="33"/>
        <v>227.72822641509435</v>
      </c>
      <c r="E419" s="9">
        <f t="shared" si="34"/>
        <v>6831.8467924528304</v>
      </c>
      <c r="F419" s="10">
        <v>3000</v>
      </c>
      <c r="G419" s="9">
        <f t="shared" si="35"/>
        <v>-4167.7120000000004</v>
      </c>
      <c r="H419" t="s">
        <v>43</v>
      </c>
    </row>
    <row r="420" spans="1:8" x14ac:dyDescent="0.25">
      <c r="A420" s="6" t="s">
        <v>36</v>
      </c>
      <c r="B420" s="7">
        <v>14457.8881</v>
      </c>
      <c r="C420" s="8">
        <v>16128.15</v>
      </c>
      <c r="D420" s="9">
        <f t="shared" si="33"/>
        <v>60.860943396226411</v>
      </c>
      <c r="E420" s="9">
        <f t="shared" si="34"/>
        <v>1825.8283018867924</v>
      </c>
      <c r="F420" s="10">
        <v>6000</v>
      </c>
      <c r="G420" s="9">
        <f t="shared" si="35"/>
        <v>-8457.8881000000001</v>
      </c>
      <c r="H420" t="s">
        <v>43</v>
      </c>
    </row>
    <row r="421" spans="1:8" x14ac:dyDescent="0.25">
      <c r="A421" s="6" t="s">
        <v>37</v>
      </c>
      <c r="B421" s="7">
        <v>809.5</v>
      </c>
      <c r="C421" s="8">
        <v>290.14999999999998</v>
      </c>
      <c r="D421" s="9">
        <f t="shared" si="33"/>
        <v>1.0949056603773584</v>
      </c>
      <c r="E421" s="9">
        <f t="shared" si="34"/>
        <v>32.847169811320754</v>
      </c>
      <c r="F421" s="10">
        <v>1000</v>
      </c>
      <c r="G421" s="9">
        <f t="shared" si="35"/>
        <v>190.5</v>
      </c>
      <c r="H421" t="s">
        <v>43</v>
      </c>
    </row>
    <row r="422" spans="1:8" x14ac:dyDescent="0.25">
      <c r="A422" s="16" t="s">
        <v>38</v>
      </c>
      <c r="B422" s="11">
        <v>2076.8825999999999</v>
      </c>
      <c r="C422" s="12">
        <v>34236.769999999997</v>
      </c>
      <c r="D422" s="9">
        <f>C422/265</f>
        <v>129.19535849056604</v>
      </c>
      <c r="E422" s="9">
        <f>D422*30</f>
        <v>3875.8607547169813</v>
      </c>
      <c r="F422" s="13">
        <v>2000</v>
      </c>
      <c r="G422" s="9">
        <f>F422-B422</f>
        <v>-76.882599999999911</v>
      </c>
      <c r="H422" t="s">
        <v>39</v>
      </c>
    </row>
    <row r="423" spans="1:8" x14ac:dyDescent="0.25">
      <c r="A423" s="15" t="s">
        <v>8</v>
      </c>
      <c r="B423" s="11">
        <v>9413.6594000000005</v>
      </c>
      <c r="C423" s="12">
        <v>354628.55</v>
      </c>
      <c r="D423" s="9">
        <f>C423/265</f>
        <v>1338.2209433962264</v>
      </c>
      <c r="E423" s="9">
        <f>D423*30</f>
        <v>40146.628301886791</v>
      </c>
      <c r="F423" s="13">
        <v>10000</v>
      </c>
      <c r="G423" s="9">
        <f t="shared" ref="G423:G450" si="36">F423-B423</f>
        <v>586.34059999999954</v>
      </c>
      <c r="H423" t="s">
        <v>39</v>
      </c>
    </row>
    <row r="424" spans="1:8" x14ac:dyDescent="0.25">
      <c r="A424" s="15" t="s">
        <v>10</v>
      </c>
      <c r="B424" s="11">
        <v>63481.433299999997</v>
      </c>
      <c r="C424" s="12">
        <v>507791.69</v>
      </c>
      <c r="D424" s="9">
        <f t="shared" ref="D424:D449" si="37">C424/265</f>
        <v>1916.1950566037735</v>
      </c>
      <c r="E424" s="9">
        <f t="shared" ref="E424:E449" si="38">D424*30</f>
        <v>57485.851698113205</v>
      </c>
      <c r="F424" s="13">
        <v>45000</v>
      </c>
      <c r="G424" s="9">
        <f t="shared" si="36"/>
        <v>-18481.433299999997</v>
      </c>
      <c r="H424" t="s">
        <v>39</v>
      </c>
    </row>
    <row r="425" spans="1:8" x14ac:dyDescent="0.25">
      <c r="A425" s="15" t="s">
        <v>11</v>
      </c>
      <c r="B425" s="11">
        <v>6219.8715789999997</v>
      </c>
      <c r="C425" s="12">
        <v>1539687.0049000001</v>
      </c>
      <c r="D425" s="9">
        <f t="shared" si="37"/>
        <v>5810.1396411320757</v>
      </c>
      <c r="E425" s="9">
        <f t="shared" si="38"/>
        <v>174304.18923396227</v>
      </c>
      <c r="F425" s="13">
        <v>6500</v>
      </c>
      <c r="G425" s="9">
        <f t="shared" si="36"/>
        <v>280.12842100000034</v>
      </c>
      <c r="H425" t="s">
        <v>39</v>
      </c>
    </row>
    <row r="426" spans="1:8" x14ac:dyDescent="0.25">
      <c r="A426" s="15" t="s">
        <v>12</v>
      </c>
      <c r="B426" s="11">
        <v>74149.893448000003</v>
      </c>
      <c r="C426" s="12">
        <v>1310991.1499999999</v>
      </c>
      <c r="D426" s="9">
        <f t="shared" si="37"/>
        <v>4947.1364150943391</v>
      </c>
      <c r="E426" s="9">
        <f t="shared" si="38"/>
        <v>148414.09245283017</v>
      </c>
      <c r="F426" s="13">
        <v>65000</v>
      </c>
      <c r="G426" s="9">
        <f t="shared" si="36"/>
        <v>-9149.8934480000025</v>
      </c>
      <c r="H426" t="s">
        <v>39</v>
      </c>
    </row>
    <row r="427" spans="1:8" x14ac:dyDescent="0.25">
      <c r="A427" s="16" t="s">
        <v>40</v>
      </c>
      <c r="B427" s="11">
        <v>6910.4818310000001</v>
      </c>
      <c r="C427" s="12">
        <v>55470.907500000001</v>
      </c>
      <c r="D427" s="9">
        <f t="shared" si="37"/>
        <v>209.32417924528303</v>
      </c>
      <c r="E427" s="9">
        <f t="shared" si="38"/>
        <v>6279.7253773584907</v>
      </c>
      <c r="F427" s="13">
        <v>6000</v>
      </c>
      <c r="G427" s="9">
        <f t="shared" si="36"/>
        <v>-910.48183100000006</v>
      </c>
      <c r="H427" t="s">
        <v>39</v>
      </c>
    </row>
    <row r="428" spans="1:8" x14ac:dyDescent="0.25">
      <c r="A428" s="15" t="s">
        <v>13</v>
      </c>
      <c r="B428" s="11">
        <v>27404.168399999999</v>
      </c>
      <c r="C428" s="12">
        <v>41461.71</v>
      </c>
      <c r="D428" s="9">
        <f t="shared" si="37"/>
        <v>156.45928301886792</v>
      </c>
      <c r="E428" s="9">
        <f t="shared" si="38"/>
        <v>4693.7784905660374</v>
      </c>
      <c r="F428" s="13">
        <v>12000</v>
      </c>
      <c r="G428" s="9">
        <f t="shared" si="36"/>
        <v>-15404.168399999999</v>
      </c>
      <c r="H428" t="s">
        <v>39</v>
      </c>
    </row>
    <row r="429" spans="1:8" x14ac:dyDescent="0.25">
      <c r="A429" s="15" t="s">
        <v>14</v>
      </c>
      <c r="B429" s="11">
        <v>1276.0174950000001</v>
      </c>
      <c r="C429" s="12">
        <v>525981.06200000003</v>
      </c>
      <c r="D429" s="9">
        <f t="shared" si="37"/>
        <v>1984.8341962264153</v>
      </c>
      <c r="E429" s="9">
        <f t="shared" si="38"/>
        <v>59545.025886792457</v>
      </c>
      <c r="F429" s="13">
        <v>1500</v>
      </c>
      <c r="G429" s="9">
        <f t="shared" si="36"/>
        <v>223.98250499999995</v>
      </c>
      <c r="H429" t="s">
        <v>39</v>
      </c>
    </row>
    <row r="430" spans="1:8" x14ac:dyDescent="0.25">
      <c r="A430" s="15" t="s">
        <v>15</v>
      </c>
      <c r="B430" s="11">
        <v>621552.72900000005</v>
      </c>
      <c r="C430" s="12">
        <v>2568581.86</v>
      </c>
      <c r="D430" s="9">
        <f t="shared" si="37"/>
        <v>9692.761735849057</v>
      </c>
      <c r="E430" s="9">
        <f t="shared" si="38"/>
        <v>290782.85207547172</v>
      </c>
      <c r="F430" s="13">
        <v>450000</v>
      </c>
      <c r="G430" s="9">
        <f t="shared" si="36"/>
        <v>-171552.72900000005</v>
      </c>
      <c r="H430" t="s">
        <v>39</v>
      </c>
    </row>
    <row r="431" spans="1:8" x14ac:dyDescent="0.25">
      <c r="A431" s="15" t="s">
        <v>16</v>
      </c>
      <c r="B431" s="11">
        <v>365416.48200000002</v>
      </c>
      <c r="C431" s="12">
        <v>792645.07</v>
      </c>
      <c r="D431" s="9">
        <f t="shared" si="37"/>
        <v>2991.1134716981128</v>
      </c>
      <c r="E431" s="9">
        <f t="shared" si="38"/>
        <v>89733.404150943388</v>
      </c>
      <c r="F431" s="13">
        <v>200000</v>
      </c>
      <c r="G431" s="9">
        <f t="shared" si="36"/>
        <v>-165416.48200000002</v>
      </c>
      <c r="H431" t="s">
        <v>39</v>
      </c>
    </row>
    <row r="432" spans="1:8" x14ac:dyDescent="0.25">
      <c r="A432" s="15" t="s">
        <v>17</v>
      </c>
      <c r="B432" s="11">
        <v>4063.6707999999999</v>
      </c>
      <c r="C432" s="12">
        <v>6269.28</v>
      </c>
      <c r="D432" s="9">
        <f t="shared" si="37"/>
        <v>23.657660377358489</v>
      </c>
      <c r="E432" s="9">
        <f t="shared" si="38"/>
        <v>709.72981132075472</v>
      </c>
      <c r="F432" s="13">
        <v>2000</v>
      </c>
      <c r="G432" s="9">
        <f t="shared" si="36"/>
        <v>-2063.6707999999999</v>
      </c>
      <c r="H432" t="s">
        <v>39</v>
      </c>
    </row>
    <row r="433" spans="1:8" x14ac:dyDescent="0.25">
      <c r="A433" s="15" t="s">
        <v>18</v>
      </c>
      <c r="B433" s="11">
        <v>91834.129000000001</v>
      </c>
      <c r="C433" s="12">
        <v>532961.40249999997</v>
      </c>
      <c r="D433" s="9">
        <f t="shared" si="37"/>
        <v>2011.1751037735849</v>
      </c>
      <c r="E433" s="9">
        <f t="shared" si="38"/>
        <v>60335.253113207546</v>
      </c>
      <c r="F433" s="13">
        <v>80000</v>
      </c>
      <c r="G433" s="9">
        <f t="shared" si="36"/>
        <v>-11834.129000000001</v>
      </c>
      <c r="H433" t="s">
        <v>39</v>
      </c>
    </row>
    <row r="434" spans="1:8" x14ac:dyDescent="0.25">
      <c r="A434" s="15" t="s">
        <v>19</v>
      </c>
      <c r="B434" s="11">
        <v>18859.985075000001</v>
      </c>
      <c r="C434" s="12">
        <v>2441198.4871</v>
      </c>
      <c r="D434" s="9">
        <f t="shared" si="37"/>
        <v>9212.0697626415094</v>
      </c>
      <c r="E434" s="9">
        <f t="shared" si="38"/>
        <v>276362.09287924529</v>
      </c>
      <c r="F434" s="13">
        <v>18000</v>
      </c>
      <c r="G434" s="9">
        <f t="shared" si="36"/>
        <v>-859.98507500000051</v>
      </c>
      <c r="H434" t="s">
        <v>39</v>
      </c>
    </row>
    <row r="435" spans="1:8" x14ac:dyDescent="0.25">
      <c r="A435" s="15" t="s">
        <v>20</v>
      </c>
      <c r="B435" s="11">
        <v>9698.6129999999994</v>
      </c>
      <c r="C435" s="12">
        <v>8444.35</v>
      </c>
      <c r="D435" s="9">
        <f t="shared" si="37"/>
        <v>31.865471698113208</v>
      </c>
      <c r="E435" s="9">
        <f t="shared" si="38"/>
        <v>955.96415094339625</v>
      </c>
      <c r="F435" s="13">
        <v>6000</v>
      </c>
      <c r="G435" s="9">
        <f t="shared" si="36"/>
        <v>-3698.6129999999994</v>
      </c>
      <c r="H435" t="s">
        <v>39</v>
      </c>
    </row>
    <row r="436" spans="1:8" x14ac:dyDescent="0.25">
      <c r="A436" s="15" t="s">
        <v>21</v>
      </c>
      <c r="B436" s="11">
        <v>27170.105500000001</v>
      </c>
      <c r="C436" s="12">
        <v>27654.61</v>
      </c>
      <c r="D436" s="9">
        <f t="shared" si="37"/>
        <v>104.35701886792452</v>
      </c>
      <c r="E436" s="9">
        <f t="shared" si="38"/>
        <v>3130.7105660377356</v>
      </c>
      <c r="F436" s="13">
        <v>12000</v>
      </c>
      <c r="G436" s="9">
        <f t="shared" si="36"/>
        <v>-15170.105500000001</v>
      </c>
      <c r="H436" t="s">
        <v>39</v>
      </c>
    </row>
    <row r="437" spans="1:8" x14ac:dyDescent="0.25">
      <c r="A437" s="15" t="s">
        <v>22</v>
      </c>
      <c r="B437" s="11">
        <v>7490.5693000000001</v>
      </c>
      <c r="C437" s="12">
        <v>18316.919999999998</v>
      </c>
      <c r="D437" s="9">
        <f t="shared" si="37"/>
        <v>69.120452830188668</v>
      </c>
      <c r="E437" s="9">
        <f t="shared" si="38"/>
        <v>2073.61358490566</v>
      </c>
      <c r="F437" s="13">
        <v>4000</v>
      </c>
      <c r="G437" s="9">
        <f t="shared" si="36"/>
        <v>-3490.5693000000001</v>
      </c>
      <c r="H437" t="s">
        <v>39</v>
      </c>
    </row>
    <row r="438" spans="1:8" x14ac:dyDescent="0.25">
      <c r="A438" s="15" t="s">
        <v>23</v>
      </c>
      <c r="B438" s="11">
        <v>139016.04759999999</v>
      </c>
      <c r="C438" s="12">
        <v>393953.66</v>
      </c>
      <c r="D438" s="9">
        <f t="shared" si="37"/>
        <v>1486.6175849056604</v>
      </c>
      <c r="E438" s="9">
        <f t="shared" si="38"/>
        <v>44598.527547169811</v>
      </c>
      <c r="F438" s="13">
        <v>90000</v>
      </c>
      <c r="G438" s="9">
        <f t="shared" si="36"/>
        <v>-49016.047599999991</v>
      </c>
      <c r="H438" t="s">
        <v>39</v>
      </c>
    </row>
    <row r="439" spans="1:8" x14ac:dyDescent="0.25">
      <c r="A439" s="15" t="s">
        <v>26</v>
      </c>
      <c r="B439" s="11">
        <v>9544.9467000000004</v>
      </c>
      <c r="C439" s="12">
        <v>13668.75</v>
      </c>
      <c r="D439" s="9">
        <f t="shared" si="37"/>
        <v>51.580188679245282</v>
      </c>
      <c r="E439" s="9">
        <f t="shared" si="38"/>
        <v>1547.4056603773583</v>
      </c>
      <c r="F439" s="13">
        <v>3000</v>
      </c>
      <c r="G439" s="9">
        <f t="shared" si="36"/>
        <v>-6544.9467000000004</v>
      </c>
      <c r="H439" t="s">
        <v>39</v>
      </c>
    </row>
    <row r="440" spans="1:8" x14ac:dyDescent="0.25">
      <c r="A440" s="15" t="s">
        <v>27</v>
      </c>
      <c r="B440" s="11">
        <v>3367.7833000000001</v>
      </c>
      <c r="C440" s="12">
        <v>11236.06</v>
      </c>
      <c r="D440" s="9">
        <f t="shared" si="37"/>
        <v>42.400226415094338</v>
      </c>
      <c r="E440" s="9">
        <f t="shared" si="38"/>
        <v>1272.00679245283</v>
      </c>
      <c r="F440" s="13">
        <v>3500</v>
      </c>
      <c r="G440" s="9">
        <f t="shared" si="36"/>
        <v>132.21669999999995</v>
      </c>
      <c r="H440" t="s">
        <v>39</v>
      </c>
    </row>
    <row r="441" spans="1:8" x14ac:dyDescent="0.25">
      <c r="A441" s="15" t="s">
        <v>28</v>
      </c>
      <c r="B441" s="11">
        <v>15084.418</v>
      </c>
      <c r="C441" s="12">
        <v>19009.580000000002</v>
      </c>
      <c r="D441" s="9">
        <f t="shared" si="37"/>
        <v>71.734264150943403</v>
      </c>
      <c r="E441" s="9">
        <f t="shared" si="38"/>
        <v>2152.0279245283023</v>
      </c>
      <c r="F441" s="13">
        <v>5000</v>
      </c>
      <c r="G441" s="9">
        <f t="shared" si="36"/>
        <v>-10084.418</v>
      </c>
      <c r="H441" t="s">
        <v>39</v>
      </c>
    </row>
    <row r="442" spans="1:8" x14ac:dyDescent="0.25">
      <c r="A442" s="15" t="s">
        <v>29</v>
      </c>
      <c r="B442" s="11">
        <v>106</v>
      </c>
      <c r="C442" s="12">
        <v>387.62</v>
      </c>
      <c r="D442" s="9">
        <f t="shared" si="37"/>
        <v>1.4627169811320755</v>
      </c>
      <c r="E442" s="9">
        <f t="shared" si="38"/>
        <v>43.881509433962265</v>
      </c>
      <c r="F442" s="13">
        <v>0</v>
      </c>
      <c r="G442" s="9">
        <f t="shared" si="36"/>
        <v>-106</v>
      </c>
      <c r="H442" t="s">
        <v>39</v>
      </c>
    </row>
    <row r="443" spans="1:8" x14ac:dyDescent="0.25">
      <c r="A443" s="15" t="s">
        <v>30</v>
      </c>
      <c r="B443" s="11">
        <v>14392.742853</v>
      </c>
      <c r="C443" s="12">
        <v>273488.36820000003</v>
      </c>
      <c r="D443" s="9">
        <f t="shared" si="37"/>
        <v>1032.0315781132076</v>
      </c>
      <c r="E443" s="9">
        <f t="shared" si="38"/>
        <v>30960.947343396227</v>
      </c>
      <c r="F443" s="13">
        <v>15000</v>
      </c>
      <c r="G443" s="9">
        <f t="shared" si="36"/>
        <v>607.25714700000026</v>
      </c>
      <c r="H443" t="s">
        <v>39</v>
      </c>
    </row>
    <row r="444" spans="1:8" x14ac:dyDescent="0.25">
      <c r="A444" s="15" t="s">
        <v>31</v>
      </c>
      <c r="B444" s="11">
        <v>8385.24</v>
      </c>
      <c r="C444" s="12">
        <v>146990.5</v>
      </c>
      <c r="D444" s="9">
        <f t="shared" si="37"/>
        <v>554.68113207547174</v>
      </c>
      <c r="E444" s="9">
        <f t="shared" si="38"/>
        <v>16640.433962264153</v>
      </c>
      <c r="F444" s="13">
        <v>2000</v>
      </c>
      <c r="G444" s="9">
        <f t="shared" si="36"/>
        <v>-6385.24</v>
      </c>
      <c r="H444" t="s">
        <v>39</v>
      </c>
    </row>
    <row r="445" spans="1:8" x14ac:dyDescent="0.25">
      <c r="A445" s="15" t="s">
        <v>32</v>
      </c>
      <c r="B445" s="11">
        <v>34835.546600000001</v>
      </c>
      <c r="C445" s="12">
        <v>87258.72</v>
      </c>
      <c r="D445" s="9">
        <f t="shared" si="37"/>
        <v>329.27818867924526</v>
      </c>
      <c r="E445" s="9">
        <f t="shared" si="38"/>
        <v>9878.3456603773575</v>
      </c>
      <c r="F445" s="13">
        <v>20000</v>
      </c>
      <c r="G445" s="9">
        <f t="shared" si="36"/>
        <v>-14835.546600000001</v>
      </c>
      <c r="H445" t="s">
        <v>39</v>
      </c>
    </row>
    <row r="446" spans="1:8" x14ac:dyDescent="0.25">
      <c r="A446" s="15" t="s">
        <v>33</v>
      </c>
      <c r="B446" s="11">
        <v>1441.96</v>
      </c>
      <c r="C446" s="12">
        <v>37335.5</v>
      </c>
      <c r="D446" s="9">
        <f t="shared" si="37"/>
        <v>140.88867924528302</v>
      </c>
      <c r="E446" s="9">
        <f t="shared" si="38"/>
        <v>4226.6603773584902</v>
      </c>
      <c r="F446" s="13">
        <v>1000</v>
      </c>
      <c r="G446" s="9">
        <f t="shared" si="36"/>
        <v>-441.96000000000004</v>
      </c>
      <c r="H446" t="s">
        <v>39</v>
      </c>
    </row>
    <row r="447" spans="1:8" x14ac:dyDescent="0.25">
      <c r="A447" s="15" t="s">
        <v>34</v>
      </c>
      <c r="B447" s="11">
        <v>28.5</v>
      </c>
      <c r="C447" s="12">
        <v>75.790000000000006</v>
      </c>
      <c r="D447" s="9">
        <f t="shared" si="37"/>
        <v>0.28600000000000003</v>
      </c>
      <c r="E447" s="9">
        <f t="shared" si="38"/>
        <v>8.5800000000000018</v>
      </c>
      <c r="F447" s="13">
        <v>0</v>
      </c>
      <c r="G447" s="9">
        <f t="shared" si="36"/>
        <v>-28.5</v>
      </c>
      <c r="H447" t="s">
        <v>39</v>
      </c>
    </row>
    <row r="448" spans="1:8" x14ac:dyDescent="0.25">
      <c r="A448" s="15" t="s">
        <v>35</v>
      </c>
      <c r="B448" s="11">
        <v>31600.884399999999</v>
      </c>
      <c r="C448" s="12">
        <v>442093.17</v>
      </c>
      <c r="D448" s="9">
        <f t="shared" si="37"/>
        <v>1668.276113207547</v>
      </c>
      <c r="E448" s="9">
        <f t="shared" si="38"/>
        <v>50048.283396226412</v>
      </c>
      <c r="F448" s="13">
        <v>25000</v>
      </c>
      <c r="G448" s="9">
        <f t="shared" si="36"/>
        <v>-6600.884399999999</v>
      </c>
      <c r="H448" t="s">
        <v>39</v>
      </c>
    </row>
    <row r="449" spans="1:8" x14ac:dyDescent="0.25">
      <c r="A449" s="15" t="s">
        <v>36</v>
      </c>
      <c r="B449" s="11">
        <v>15504.4982</v>
      </c>
      <c r="C449" s="12">
        <v>59368.31</v>
      </c>
      <c r="D449" s="9">
        <f t="shared" si="37"/>
        <v>224.03135849056602</v>
      </c>
      <c r="E449" s="9">
        <f t="shared" si="38"/>
        <v>6720.9407547169803</v>
      </c>
      <c r="F449" s="13">
        <v>15000</v>
      </c>
      <c r="G449" s="9">
        <f t="shared" si="36"/>
        <v>-504.4982</v>
      </c>
      <c r="H449" t="s">
        <v>39</v>
      </c>
    </row>
    <row r="450" spans="1:8" x14ac:dyDescent="0.25">
      <c r="A450" s="15" t="s">
        <v>37</v>
      </c>
      <c r="B450" s="11">
        <v>449.2525</v>
      </c>
      <c r="C450" s="12">
        <v>338.15</v>
      </c>
      <c r="D450" s="9">
        <f>C450/265</f>
        <v>1.2760377358490564</v>
      </c>
      <c r="E450" s="9">
        <f>D450*30</f>
        <v>38.281132075471696</v>
      </c>
      <c r="F450" s="13">
        <v>1000</v>
      </c>
      <c r="G450" s="9">
        <f t="shared" si="36"/>
        <v>550.74749999999995</v>
      </c>
      <c r="H45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2025-10-14T12:52:49Z</dcterms:created>
  <dcterms:modified xsi:type="dcterms:W3CDTF">2025-10-16T11:36:44Z</dcterms:modified>
</cp:coreProperties>
</file>